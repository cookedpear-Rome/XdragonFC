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https://dxcportal-my.sharepoint.com/personal/eugenio_avossa_dxc_com/Documents/Desktop/EUGENIO/Fantacalcio/"/>
    </mc:Choice>
  </mc:AlternateContent>
  <xr:revisionPtr revIDLastSave="1242" documentId="14_{EB1EDD46-101C-4178-984B-BBE656058AE3}" xr6:coauthVersionLast="47" xr6:coauthVersionMax="47" xr10:uidLastSave="{78F0653B-9172-4A01-BD47-559D775DE99A}"/>
  <bookViews>
    <workbookView xWindow="-25620" yWindow="-1950" windowWidth="23160" windowHeight="19020" tabRatio="692" activeTab="2" xr2:uid="{710A819E-645F-4474-BD82-344E04B7F527}"/>
  </bookViews>
  <sheets>
    <sheet name="CAMPIONATO" sheetId="1" r:id="rId1"/>
    <sheet name="Grafico" sheetId="2" r:id="rId2"/>
    <sheet name="Rose Iniziali" sheetId="4" r:id="rId3"/>
    <sheet name="Rose Modificate" sheetId="5" r:id="rId4"/>
    <sheet name="COPPETTA" sheetId="7" r:id="rId5"/>
    <sheet name="Proposte d'Acquisto" sheetId="6" r:id="rId6"/>
    <sheet name="Calcola Risultato" sheetId="3" r:id="rId7"/>
    <sheet name="Premi" sheetId="8" r:id="rId8"/>
    <sheet name="Regolamenti" sheetId="9" r:id="rId9"/>
  </sheets>
  <definedNames>
    <definedName name="_xlnm._FilterDatabase" localSheetId="0" hidden="1">CAMPIONATO!$BI$10:$BI$11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7" l="1"/>
  <c r="X29" i="7"/>
  <c r="Y24" i="7"/>
  <c r="X24" i="7"/>
  <c r="Y23" i="7"/>
  <c r="U42" i="7"/>
  <c r="T42" i="7"/>
  <c r="S42" i="7"/>
  <c r="R42" i="7"/>
  <c r="Q42" i="7"/>
  <c r="P42" i="7"/>
  <c r="O42" i="7"/>
  <c r="N42" i="7"/>
  <c r="U41" i="7"/>
  <c r="T41" i="7"/>
  <c r="S41" i="7"/>
  <c r="R41" i="7"/>
  <c r="Q41" i="7"/>
  <c r="P41" i="7"/>
  <c r="O41" i="7"/>
  <c r="N41" i="7"/>
  <c r="S40" i="7"/>
  <c r="R40" i="7"/>
  <c r="Q40" i="7"/>
  <c r="P40" i="7"/>
  <c r="O40" i="7"/>
  <c r="N40" i="7"/>
  <c r="T39" i="7"/>
  <c r="S39" i="7"/>
  <c r="R39" i="7"/>
  <c r="Q39" i="7"/>
  <c r="P39" i="7"/>
  <c r="O39" i="7"/>
  <c r="N39" i="7"/>
  <c r="H41" i="7"/>
  <c r="G41" i="7"/>
  <c r="F41" i="7"/>
  <c r="E41" i="7"/>
  <c r="D41" i="7"/>
  <c r="C41" i="7"/>
  <c r="B41" i="7"/>
  <c r="G42" i="7"/>
  <c r="F42" i="7"/>
  <c r="E42" i="7"/>
  <c r="D42" i="7"/>
  <c r="C42" i="7"/>
  <c r="B42" i="7"/>
  <c r="J40" i="7"/>
  <c r="G40" i="7"/>
  <c r="F40" i="7"/>
  <c r="E40" i="7"/>
  <c r="D40" i="7"/>
  <c r="C40" i="7"/>
  <c r="B40" i="7"/>
  <c r="Y40" i="5"/>
  <c r="Y43" i="5"/>
  <c r="Y21" i="5"/>
  <c r="BG6" i="1"/>
  <c r="BG8" i="1"/>
  <c r="BG10" i="1"/>
  <c r="C6" i="8" s="1"/>
  <c r="D6" i="8" s="1"/>
  <c r="E6" i="8" s="1"/>
  <c r="I15" i="8" s="1"/>
  <c r="BG12" i="1"/>
  <c r="C7" i="8" s="1"/>
  <c r="E7" i="8" s="1"/>
  <c r="I16" i="8" s="1"/>
  <c r="BG14" i="1"/>
  <c r="BG16" i="1"/>
  <c r="BG18" i="1"/>
  <c r="BG20" i="1"/>
  <c r="C9" i="8"/>
  <c r="E9" i="8" s="1"/>
  <c r="I18" i="8" s="1"/>
  <c r="C10" i="8"/>
  <c r="E10" i="8" s="1"/>
  <c r="I19" i="8" s="1"/>
  <c r="C4" i="8"/>
  <c r="BC10" i="1"/>
  <c r="AY6" i="1"/>
  <c r="AY8" i="1"/>
  <c r="O27" i="5"/>
  <c r="O28" i="5"/>
  <c r="O29" i="5"/>
  <c r="O30" i="5"/>
  <c r="O31" i="5"/>
  <c r="O32" i="5"/>
  <c r="O33" i="5"/>
  <c r="R14" i="5"/>
  <c r="R15" i="5"/>
  <c r="R16" i="5"/>
  <c r="R17" i="5"/>
  <c r="R18" i="5"/>
  <c r="R19" i="5"/>
  <c r="R20" i="5"/>
  <c r="X40" i="5"/>
  <c r="X41" i="5"/>
  <c r="X33" i="5"/>
  <c r="X34" i="5"/>
  <c r="X27" i="5"/>
  <c r="X28" i="5"/>
  <c r="X29" i="5"/>
  <c r="X30" i="5"/>
  <c r="X14" i="5"/>
  <c r="X15" i="5"/>
  <c r="X16" i="5"/>
  <c r="X17" i="5"/>
  <c r="X18" i="5"/>
  <c r="X19" i="5"/>
  <c r="X20" i="5"/>
  <c r="B6" i="4"/>
  <c r="Y35" i="7"/>
  <c r="Q30" i="5"/>
  <c r="Q31" i="5"/>
  <c r="Q32" i="5"/>
  <c r="S34" i="5"/>
  <c r="Q34" i="5"/>
  <c r="E34" i="5"/>
  <c r="K27" i="5"/>
  <c r="L27" i="5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K33" i="5"/>
  <c r="L33" i="5"/>
  <c r="M33" i="5"/>
  <c r="M34" i="5"/>
  <c r="K34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B32" i="5"/>
  <c r="B20" i="5"/>
  <c r="C20" i="5"/>
  <c r="D20" i="5"/>
  <c r="D32" i="5"/>
  <c r="C32" i="5"/>
  <c r="Y14" i="5"/>
  <c r="Y15" i="5"/>
  <c r="Y34" i="5"/>
  <c r="Y19" i="5"/>
  <c r="Y16" i="5"/>
  <c r="Y41" i="5"/>
  <c r="AY10" i="1"/>
  <c r="AY12" i="1"/>
  <c r="AY14" i="1"/>
  <c r="AY16" i="1"/>
  <c r="AY18" i="1"/>
  <c r="AY20" i="1"/>
  <c r="N9" i="7"/>
  <c r="N33" i="7" s="1"/>
  <c r="N10" i="7"/>
  <c r="V12" i="7"/>
  <c r="V42" i="7" s="1"/>
  <c r="V11" i="7"/>
  <c r="V41" i="7" s="1"/>
  <c r="C26" i="8"/>
  <c r="V10" i="7"/>
  <c r="C25" i="8" s="1"/>
  <c r="V9" i="7"/>
  <c r="V39" i="7" s="1"/>
  <c r="J12" i="7"/>
  <c r="J39" i="7" s="1"/>
  <c r="J11" i="7"/>
  <c r="J10" i="7"/>
  <c r="C21" i="8" s="1"/>
  <c r="J9" i="7"/>
  <c r="C20" i="8" s="1"/>
  <c r="T12" i="7"/>
  <c r="X40" i="7" s="1"/>
  <c r="T11" i="7"/>
  <c r="T10" i="7"/>
  <c r="X42" i="7" s="1"/>
  <c r="T9" i="7"/>
  <c r="X41" i="7" s="1"/>
  <c r="H9" i="7"/>
  <c r="L41" i="7" s="1"/>
  <c r="H10" i="7"/>
  <c r="L40" i="7" s="1"/>
  <c r="H11" i="7"/>
  <c r="L42" i="7" s="1"/>
  <c r="H12" i="7"/>
  <c r="H39" i="7" s="1"/>
  <c r="G39" i="7"/>
  <c r="F39" i="7"/>
  <c r="E39" i="7"/>
  <c r="D39" i="7"/>
  <c r="C39" i="7"/>
  <c r="BC8" i="1"/>
  <c r="H18" i="5"/>
  <c r="I18" i="5"/>
  <c r="J18" i="5"/>
  <c r="H19" i="5"/>
  <c r="I19" i="5"/>
  <c r="J19" i="5"/>
  <c r="B16" i="5"/>
  <c r="C16" i="5"/>
  <c r="D16" i="5"/>
  <c r="T20" i="5"/>
  <c r="U20" i="5"/>
  <c r="V20" i="5"/>
  <c r="H31" i="5"/>
  <c r="I31" i="5"/>
  <c r="J31" i="5"/>
  <c r="E17" i="5"/>
  <c r="F17" i="5"/>
  <c r="G17" i="5"/>
  <c r="S19" i="5"/>
  <c r="Q19" i="5"/>
  <c r="Q18" i="5"/>
  <c r="S18" i="5"/>
  <c r="P45" i="5"/>
  <c r="T17" i="5"/>
  <c r="Y17" i="5"/>
  <c r="Y45" i="5"/>
  <c r="T3" i="5"/>
  <c r="Q3" i="5"/>
  <c r="N3" i="5"/>
  <c r="K3" i="5"/>
  <c r="H3" i="5"/>
  <c r="E3" i="5"/>
  <c r="B3" i="5"/>
  <c r="B17" i="5"/>
  <c r="C17" i="5"/>
  <c r="D17" i="5"/>
  <c r="B18" i="5"/>
  <c r="C18" i="5"/>
  <c r="D18" i="5"/>
  <c r="B19" i="5"/>
  <c r="C19" i="5"/>
  <c r="D19" i="5"/>
  <c r="B21" i="5"/>
  <c r="C21" i="5"/>
  <c r="D21" i="5"/>
  <c r="B10" i="5"/>
  <c r="C10" i="5"/>
  <c r="D10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S14" i="5"/>
  <c r="T14" i="5"/>
  <c r="U14" i="5"/>
  <c r="V14" i="5"/>
  <c r="W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S15" i="5"/>
  <c r="T15" i="5"/>
  <c r="U15" i="5"/>
  <c r="V15" i="5"/>
  <c r="W15" i="5"/>
  <c r="E16" i="5"/>
  <c r="F16" i="5"/>
  <c r="G16" i="5"/>
  <c r="H16" i="5"/>
  <c r="I16" i="5"/>
  <c r="J16" i="5"/>
  <c r="N16" i="5"/>
  <c r="O16" i="5"/>
  <c r="P16" i="5"/>
  <c r="Q16" i="5"/>
  <c r="S16" i="5"/>
  <c r="T16" i="5"/>
  <c r="U16" i="5"/>
  <c r="V16" i="5"/>
  <c r="W16" i="5"/>
  <c r="H17" i="5"/>
  <c r="I17" i="5"/>
  <c r="J17" i="5"/>
  <c r="N17" i="5"/>
  <c r="O17" i="5"/>
  <c r="P17" i="5"/>
  <c r="Q17" i="5"/>
  <c r="S17" i="5"/>
  <c r="U17" i="5"/>
  <c r="V17" i="5"/>
  <c r="W17" i="5"/>
  <c r="E18" i="5"/>
  <c r="F18" i="5"/>
  <c r="G18" i="5"/>
  <c r="N18" i="5"/>
  <c r="O18" i="5"/>
  <c r="P18" i="5"/>
  <c r="T18" i="5"/>
  <c r="U18" i="5"/>
  <c r="V18" i="5"/>
  <c r="W18" i="5"/>
  <c r="Y18" i="5"/>
  <c r="E19" i="5"/>
  <c r="F19" i="5"/>
  <c r="G19" i="5"/>
  <c r="N19" i="5"/>
  <c r="O19" i="5"/>
  <c r="P19" i="5"/>
  <c r="T19" i="5"/>
  <c r="U19" i="5"/>
  <c r="V19" i="5"/>
  <c r="W19" i="5"/>
  <c r="E20" i="5"/>
  <c r="F20" i="5"/>
  <c r="G20" i="5"/>
  <c r="H20" i="5"/>
  <c r="I20" i="5"/>
  <c r="J20" i="5"/>
  <c r="N20" i="5"/>
  <c r="O20" i="5"/>
  <c r="P20" i="5"/>
  <c r="Q20" i="5"/>
  <c r="S20" i="5"/>
  <c r="W20" i="5"/>
  <c r="Y20" i="5"/>
  <c r="E21" i="5"/>
  <c r="F21" i="5"/>
  <c r="G21" i="5"/>
  <c r="H21" i="5"/>
  <c r="I21" i="5"/>
  <c r="J21" i="5"/>
  <c r="N21" i="5"/>
  <c r="O21" i="5"/>
  <c r="P21" i="5"/>
  <c r="Q21" i="5"/>
  <c r="R21" i="5"/>
  <c r="S21" i="5"/>
  <c r="T21" i="5"/>
  <c r="U21" i="5"/>
  <c r="V21" i="5"/>
  <c r="W21" i="5"/>
  <c r="X21" i="5"/>
  <c r="B27" i="5"/>
  <c r="C27" i="5"/>
  <c r="D27" i="5"/>
  <c r="E27" i="5"/>
  <c r="F27" i="5"/>
  <c r="G27" i="5"/>
  <c r="H27" i="5"/>
  <c r="I27" i="5"/>
  <c r="J27" i="5"/>
  <c r="N27" i="5"/>
  <c r="P27" i="5"/>
  <c r="Q27" i="5"/>
  <c r="R27" i="5"/>
  <c r="S27" i="5"/>
  <c r="T27" i="5"/>
  <c r="U27" i="5"/>
  <c r="V27" i="5"/>
  <c r="W27" i="5"/>
  <c r="Y27" i="5"/>
  <c r="B28" i="5"/>
  <c r="C28" i="5"/>
  <c r="D28" i="5"/>
  <c r="E28" i="5"/>
  <c r="F28" i="5"/>
  <c r="G28" i="5"/>
  <c r="H28" i="5"/>
  <c r="I28" i="5"/>
  <c r="J28" i="5"/>
  <c r="N28" i="5"/>
  <c r="P28" i="5"/>
  <c r="Q28" i="5"/>
  <c r="R28" i="5"/>
  <c r="S28" i="5"/>
  <c r="T28" i="5"/>
  <c r="U28" i="5"/>
  <c r="V28" i="5"/>
  <c r="W28" i="5"/>
  <c r="Y28" i="5"/>
  <c r="B29" i="5"/>
  <c r="C29" i="5"/>
  <c r="D29" i="5"/>
  <c r="E29" i="5"/>
  <c r="F29" i="5"/>
  <c r="G29" i="5"/>
  <c r="H29" i="5"/>
  <c r="I29" i="5"/>
  <c r="J29" i="5"/>
  <c r="N29" i="5"/>
  <c r="P29" i="5"/>
  <c r="Q29" i="5"/>
  <c r="R29" i="5"/>
  <c r="S29" i="5"/>
  <c r="T29" i="5"/>
  <c r="U29" i="5"/>
  <c r="V29" i="5"/>
  <c r="W29" i="5"/>
  <c r="Y29" i="5"/>
  <c r="B30" i="5"/>
  <c r="C30" i="5"/>
  <c r="D30" i="5"/>
  <c r="E30" i="5"/>
  <c r="F30" i="5"/>
  <c r="G30" i="5"/>
  <c r="H30" i="5"/>
  <c r="I30" i="5"/>
  <c r="J30" i="5"/>
  <c r="N30" i="5"/>
  <c r="P30" i="5"/>
  <c r="R30" i="5"/>
  <c r="S30" i="5"/>
  <c r="T30" i="5"/>
  <c r="U30" i="5"/>
  <c r="V30" i="5"/>
  <c r="W30" i="5"/>
  <c r="Y30" i="5"/>
  <c r="B31" i="5"/>
  <c r="C31" i="5"/>
  <c r="D31" i="5"/>
  <c r="E31" i="5"/>
  <c r="F31" i="5"/>
  <c r="G31" i="5"/>
  <c r="N31" i="5"/>
  <c r="P31" i="5"/>
  <c r="R31" i="5"/>
  <c r="S31" i="5"/>
  <c r="T31" i="5"/>
  <c r="U31" i="5"/>
  <c r="V31" i="5"/>
  <c r="W31" i="5"/>
  <c r="X31" i="5"/>
  <c r="Y31" i="5"/>
  <c r="E32" i="5"/>
  <c r="F32" i="5"/>
  <c r="G32" i="5"/>
  <c r="H32" i="5"/>
  <c r="I32" i="5"/>
  <c r="J32" i="5"/>
  <c r="N32" i="5"/>
  <c r="P32" i="5"/>
  <c r="R32" i="5"/>
  <c r="S32" i="5"/>
  <c r="T32" i="5"/>
  <c r="U32" i="5"/>
  <c r="V32" i="5"/>
  <c r="W32" i="5"/>
  <c r="X32" i="5"/>
  <c r="Y32" i="5"/>
  <c r="B33" i="5"/>
  <c r="C33" i="5"/>
  <c r="D33" i="5"/>
  <c r="E33" i="5"/>
  <c r="F33" i="5"/>
  <c r="G33" i="5"/>
  <c r="H33" i="5"/>
  <c r="I33" i="5"/>
  <c r="J33" i="5"/>
  <c r="N33" i="5"/>
  <c r="P33" i="5"/>
  <c r="Q33" i="5"/>
  <c r="R33" i="5"/>
  <c r="S33" i="5"/>
  <c r="T33" i="5"/>
  <c r="U33" i="5"/>
  <c r="V33" i="5"/>
  <c r="W33" i="5"/>
  <c r="Y33" i="5"/>
  <c r="B34" i="5"/>
  <c r="C34" i="5"/>
  <c r="D34" i="5"/>
  <c r="F34" i="5"/>
  <c r="G34" i="5"/>
  <c r="H34" i="5"/>
  <c r="I34" i="5"/>
  <c r="J34" i="5"/>
  <c r="L34" i="5"/>
  <c r="N34" i="5"/>
  <c r="O34" i="5"/>
  <c r="P34" i="5"/>
  <c r="R34" i="5"/>
  <c r="T34" i="5"/>
  <c r="U34" i="5"/>
  <c r="V34" i="5"/>
  <c r="W34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Q45" i="5"/>
  <c r="R45" i="5"/>
  <c r="S45" i="5"/>
  <c r="T45" i="5"/>
  <c r="U45" i="5"/>
  <c r="V45" i="5"/>
  <c r="W45" i="5"/>
  <c r="X45" i="5"/>
  <c r="E6" i="4"/>
  <c r="B24" i="8"/>
  <c r="B7" i="8"/>
  <c r="H9" i="2"/>
  <c r="AB46" i="1"/>
  <c r="D46" i="1"/>
  <c r="AL39" i="1"/>
  <c r="N39" i="1"/>
  <c r="AL32" i="1"/>
  <c r="N32" i="1"/>
  <c r="AB27" i="1"/>
  <c r="D27" i="1"/>
  <c r="AB14" i="1"/>
  <c r="AL7" i="1"/>
  <c r="AL19" i="1"/>
  <c r="N19" i="1"/>
  <c r="D14" i="1"/>
  <c r="N7" i="1"/>
  <c r="AX3" i="1"/>
  <c r="D4" i="1"/>
  <c r="E4" i="1"/>
  <c r="H4" i="1"/>
  <c r="F4" i="1"/>
  <c r="J4" i="1"/>
  <c r="N4" i="1"/>
  <c r="O4" i="1"/>
  <c r="Q4" i="1"/>
  <c r="P4" i="1"/>
  <c r="I28" i="2"/>
  <c r="AB4" i="1"/>
  <c r="AC4" i="1"/>
  <c r="AF4" i="1"/>
  <c r="AD4" i="1"/>
  <c r="AJ4" i="1"/>
  <c r="AL4" i="1"/>
  <c r="AM4" i="1"/>
  <c r="AP4" i="1"/>
  <c r="AN4" i="1"/>
  <c r="AR4" i="1"/>
  <c r="D5" i="1"/>
  <c r="E5" i="1"/>
  <c r="H5" i="1"/>
  <c r="F5" i="1"/>
  <c r="J5" i="1"/>
  <c r="N5" i="1"/>
  <c r="O5" i="1"/>
  <c r="R5" i="1"/>
  <c r="P5" i="1"/>
  <c r="T5" i="1"/>
  <c r="AB5" i="1"/>
  <c r="AC5" i="1"/>
  <c r="AG5" i="1"/>
  <c r="AF5" i="1"/>
  <c r="AD5" i="1"/>
  <c r="AI5" i="1"/>
  <c r="AL5" i="1"/>
  <c r="AM5" i="1"/>
  <c r="AP5" i="1"/>
  <c r="AN5" i="1"/>
  <c r="AT5" i="1"/>
  <c r="D6" i="1"/>
  <c r="E6" i="1"/>
  <c r="H6" i="1"/>
  <c r="F6" i="1"/>
  <c r="L6" i="1"/>
  <c r="N6" i="1"/>
  <c r="O6" i="1"/>
  <c r="R6" i="1"/>
  <c r="Q6" i="1"/>
  <c r="P6" i="1"/>
  <c r="AB6" i="1"/>
  <c r="AC6" i="1"/>
  <c r="AD6" i="1"/>
  <c r="AH6" i="1"/>
  <c r="AL6" i="1"/>
  <c r="AM6" i="1"/>
  <c r="AO6" i="1"/>
  <c r="AN6" i="1"/>
  <c r="AR6" i="1"/>
  <c r="B26" i="8"/>
  <c r="H19" i="8"/>
  <c r="D7" i="1"/>
  <c r="E7" i="1"/>
  <c r="H7" i="1"/>
  <c r="F7" i="1"/>
  <c r="O7" i="1"/>
  <c r="Q7" i="1"/>
  <c r="P7" i="1"/>
  <c r="AB7" i="1"/>
  <c r="AC7" i="1"/>
  <c r="AF7" i="1"/>
  <c r="AD7" i="1"/>
  <c r="AH7" i="1"/>
  <c r="AM7" i="1"/>
  <c r="AP7" i="1"/>
  <c r="AN7" i="1"/>
  <c r="AT7" i="1"/>
  <c r="AS7" i="1"/>
  <c r="B10" i="7"/>
  <c r="C33" i="7" s="1"/>
  <c r="D11" i="1"/>
  <c r="E11" i="1"/>
  <c r="H11" i="1"/>
  <c r="F11" i="1"/>
  <c r="K26" i="2"/>
  <c r="N11" i="1"/>
  <c r="O11" i="1"/>
  <c r="S11" i="1"/>
  <c r="P11" i="1"/>
  <c r="T11" i="1"/>
  <c r="U11" i="1"/>
  <c r="AB11" i="1"/>
  <c r="AC11" i="1"/>
  <c r="AF11" i="1"/>
  <c r="AD11" i="1"/>
  <c r="AH11" i="1"/>
  <c r="AL11" i="1"/>
  <c r="AM11" i="1"/>
  <c r="AP11" i="1"/>
  <c r="AN11" i="1"/>
  <c r="AR11" i="1"/>
  <c r="AS11" i="1"/>
  <c r="D12" i="1"/>
  <c r="E12" i="1"/>
  <c r="F12" i="1"/>
  <c r="K12" i="1"/>
  <c r="L12" i="1"/>
  <c r="N12" i="1"/>
  <c r="O12" i="1"/>
  <c r="Q12" i="1"/>
  <c r="P12" i="1"/>
  <c r="T12" i="1"/>
  <c r="AB12" i="1"/>
  <c r="AC12" i="1"/>
  <c r="AG12" i="1"/>
  <c r="AD12" i="1"/>
  <c r="AI12" i="1"/>
  <c r="AL12" i="1"/>
  <c r="AM12" i="1"/>
  <c r="BI6" i="1"/>
  <c r="AP12" i="1"/>
  <c r="AN12" i="1"/>
  <c r="AT12" i="1"/>
  <c r="H13" i="8"/>
  <c r="D13" i="1"/>
  <c r="E13" i="1"/>
  <c r="H13" i="1"/>
  <c r="F13" i="1"/>
  <c r="N13" i="1"/>
  <c r="O13" i="1"/>
  <c r="P13" i="1"/>
  <c r="T13" i="1"/>
  <c r="AB13" i="1"/>
  <c r="AC13" i="1"/>
  <c r="AD13" i="1"/>
  <c r="AI13" i="1"/>
  <c r="AL13" i="1"/>
  <c r="AM13" i="1"/>
  <c r="AQ13" i="1"/>
  <c r="AN13" i="1"/>
  <c r="AR13" i="1"/>
  <c r="E14" i="1"/>
  <c r="H14" i="1"/>
  <c r="F14" i="1"/>
  <c r="K14" i="1"/>
  <c r="N14" i="1"/>
  <c r="O14" i="1"/>
  <c r="P14" i="1"/>
  <c r="T14" i="1"/>
  <c r="AC14" i="1"/>
  <c r="AE14" i="1"/>
  <c r="AD14" i="1"/>
  <c r="AH14" i="1"/>
  <c r="AL14" i="1"/>
  <c r="AM14" i="1"/>
  <c r="AO14" i="1"/>
  <c r="AN14" i="1"/>
  <c r="AT14" i="1"/>
  <c r="H20" i="8"/>
  <c r="D18" i="1"/>
  <c r="E18" i="1"/>
  <c r="H18" i="1"/>
  <c r="F18" i="1"/>
  <c r="L18" i="1"/>
  <c r="N18" i="1"/>
  <c r="O18" i="1"/>
  <c r="R18" i="1"/>
  <c r="P18" i="1"/>
  <c r="AB18" i="1"/>
  <c r="AC18" i="1"/>
  <c r="AD18" i="1"/>
  <c r="AH18" i="1"/>
  <c r="AJ18" i="1"/>
  <c r="AL18" i="1"/>
  <c r="AM18" i="1"/>
  <c r="AP18" i="1"/>
  <c r="AN18" i="1"/>
  <c r="AT18" i="1"/>
  <c r="D19" i="1"/>
  <c r="E19" i="1"/>
  <c r="I19" i="1"/>
  <c r="F19" i="1"/>
  <c r="L19" i="1"/>
  <c r="O19" i="1"/>
  <c r="R19" i="1"/>
  <c r="P19" i="1"/>
  <c r="T19" i="1"/>
  <c r="U19" i="1"/>
  <c r="AB19" i="1"/>
  <c r="AC19" i="1"/>
  <c r="AD19" i="1"/>
  <c r="AM19" i="1"/>
  <c r="AO19" i="1"/>
  <c r="AN19" i="1"/>
  <c r="AS19" i="1"/>
  <c r="D20" i="1"/>
  <c r="E20" i="1"/>
  <c r="G20" i="1"/>
  <c r="F20" i="1"/>
  <c r="L20" i="1"/>
  <c r="N20" i="1"/>
  <c r="O20" i="1"/>
  <c r="R20" i="1"/>
  <c r="P20" i="1"/>
  <c r="V20" i="1"/>
  <c r="AB20" i="1"/>
  <c r="AC20" i="1"/>
  <c r="AD20" i="1"/>
  <c r="AJ20" i="1"/>
  <c r="AL20" i="1"/>
  <c r="AM20" i="1"/>
  <c r="AQ20" i="1"/>
  <c r="AP20" i="1"/>
  <c r="AN20" i="1"/>
  <c r="B11" i="7"/>
  <c r="C19" i="7" s="1"/>
  <c r="BF8" i="1"/>
  <c r="BK8" i="1" s="1"/>
  <c r="D21" i="1"/>
  <c r="E21" i="1"/>
  <c r="H21" i="1"/>
  <c r="F21" i="1"/>
  <c r="N21" i="1"/>
  <c r="O21" i="1"/>
  <c r="Q21" i="1"/>
  <c r="P21" i="1"/>
  <c r="V21" i="1"/>
  <c r="AB21" i="1"/>
  <c r="AC21" i="1"/>
  <c r="AD21" i="1"/>
  <c r="AI21" i="1"/>
  <c r="AL21" i="1"/>
  <c r="AM21" i="1"/>
  <c r="AO21" i="1"/>
  <c r="AQ21" i="1"/>
  <c r="AN21" i="1"/>
  <c r="AT21" i="1"/>
  <c r="D25" i="1"/>
  <c r="E25" i="1"/>
  <c r="G25" i="1"/>
  <c r="F25" i="1"/>
  <c r="K25" i="1"/>
  <c r="N25" i="1"/>
  <c r="O25" i="1"/>
  <c r="P25" i="1"/>
  <c r="AB25" i="1"/>
  <c r="AC25" i="1"/>
  <c r="AF25" i="1"/>
  <c r="AD25" i="1"/>
  <c r="AI25" i="1"/>
  <c r="AL25" i="1"/>
  <c r="AM25" i="1"/>
  <c r="AQ25" i="1"/>
  <c r="AN25" i="1"/>
  <c r="D26" i="1"/>
  <c r="E26" i="1"/>
  <c r="I26" i="1"/>
  <c r="H26" i="1"/>
  <c r="F26" i="1"/>
  <c r="L26" i="1"/>
  <c r="N26" i="1"/>
  <c r="O26" i="1"/>
  <c r="R26" i="1"/>
  <c r="P26" i="1"/>
  <c r="AB26" i="1"/>
  <c r="AC26" i="1"/>
  <c r="AF26" i="1"/>
  <c r="AD26" i="1"/>
  <c r="AH26" i="1"/>
  <c r="AL26" i="1"/>
  <c r="AM26" i="1"/>
  <c r="AO26" i="1"/>
  <c r="AN26" i="1"/>
  <c r="AT26" i="1"/>
  <c r="AS26" i="1"/>
  <c r="E27" i="1"/>
  <c r="I27" i="1"/>
  <c r="F27" i="1"/>
  <c r="N27" i="1"/>
  <c r="O27" i="1"/>
  <c r="Q27" i="1"/>
  <c r="P27" i="1"/>
  <c r="T27" i="1"/>
  <c r="AC27" i="1"/>
  <c r="AE27" i="1"/>
  <c r="AD27" i="1"/>
  <c r="AI27" i="1"/>
  <c r="AL27" i="1"/>
  <c r="AM27" i="1"/>
  <c r="AQ27" i="1"/>
  <c r="AN27" i="1"/>
  <c r="AR27" i="1"/>
  <c r="D28" i="1"/>
  <c r="E28" i="1"/>
  <c r="G28" i="1"/>
  <c r="F28" i="1"/>
  <c r="L28" i="1"/>
  <c r="N28" i="1"/>
  <c r="O28" i="1"/>
  <c r="P28" i="1"/>
  <c r="T28" i="1"/>
  <c r="AB28" i="1"/>
  <c r="AC28" i="1"/>
  <c r="AF28" i="1"/>
  <c r="AD28" i="1"/>
  <c r="AL28" i="1"/>
  <c r="AM28" i="1"/>
  <c r="AN28" i="1"/>
  <c r="AT28" i="1"/>
  <c r="D32" i="1"/>
  <c r="E32" i="1"/>
  <c r="H32" i="1"/>
  <c r="F32" i="1"/>
  <c r="H35" i="2"/>
  <c r="K32" i="1"/>
  <c r="O32" i="1"/>
  <c r="P32" i="1"/>
  <c r="V32" i="1"/>
  <c r="AB32" i="1"/>
  <c r="AC32" i="1"/>
  <c r="AG32" i="1"/>
  <c r="AD32" i="1"/>
  <c r="AJ32" i="1"/>
  <c r="AH32" i="1"/>
  <c r="AM32" i="1"/>
  <c r="AQ32" i="1"/>
  <c r="AN32" i="1"/>
  <c r="AR32" i="1"/>
  <c r="D33" i="1"/>
  <c r="E33" i="1"/>
  <c r="I33" i="1"/>
  <c r="F33" i="1"/>
  <c r="N33" i="1"/>
  <c r="O33" i="1"/>
  <c r="P33" i="1"/>
  <c r="AB33" i="1"/>
  <c r="AC33" i="1"/>
  <c r="AE33" i="1"/>
  <c r="AD33" i="1"/>
  <c r="AJ33" i="1"/>
  <c r="AL33" i="1"/>
  <c r="AM33" i="1"/>
  <c r="AP33" i="1"/>
  <c r="AN33" i="1"/>
  <c r="AR33" i="1"/>
  <c r="D34" i="1"/>
  <c r="E34" i="1"/>
  <c r="I34" i="1"/>
  <c r="F34" i="1"/>
  <c r="J34" i="1"/>
  <c r="N34" i="1"/>
  <c r="O34" i="1"/>
  <c r="Q34" i="1"/>
  <c r="P34" i="1"/>
  <c r="U34" i="1"/>
  <c r="AB34" i="1"/>
  <c r="AC34" i="1"/>
  <c r="AD34" i="1"/>
  <c r="AH34" i="1"/>
  <c r="AL34" i="1"/>
  <c r="AM34" i="1"/>
  <c r="AN34" i="1"/>
  <c r="AS34" i="1"/>
  <c r="D35" i="1"/>
  <c r="E35" i="1"/>
  <c r="D25" i="2"/>
  <c r="F35" i="1"/>
  <c r="N35" i="1"/>
  <c r="O35" i="1"/>
  <c r="R35" i="1"/>
  <c r="P35" i="1"/>
  <c r="U35" i="1"/>
  <c r="V35" i="1"/>
  <c r="AB35" i="1"/>
  <c r="AC35" i="1"/>
  <c r="AD35" i="1"/>
  <c r="AJ35" i="1"/>
  <c r="AL35" i="1"/>
  <c r="AM35" i="1"/>
  <c r="AQ35" i="1"/>
  <c r="AN35" i="1"/>
  <c r="AS35" i="1"/>
  <c r="AT35" i="1"/>
  <c r="D39" i="1"/>
  <c r="E39" i="1"/>
  <c r="I39" i="1"/>
  <c r="F39" i="1"/>
  <c r="L39" i="1"/>
  <c r="O39" i="1"/>
  <c r="Q39" i="1"/>
  <c r="P39" i="1"/>
  <c r="U39" i="1"/>
  <c r="T39" i="1"/>
  <c r="AB39" i="1"/>
  <c r="AC39" i="1"/>
  <c r="AE39" i="1"/>
  <c r="AD39" i="1"/>
  <c r="AH39" i="1"/>
  <c r="AM39" i="1"/>
  <c r="AP39" i="1"/>
  <c r="AN39" i="1"/>
  <c r="D40" i="1"/>
  <c r="E40" i="1"/>
  <c r="F40" i="1"/>
  <c r="L40" i="1"/>
  <c r="N40" i="1"/>
  <c r="O40" i="1"/>
  <c r="P40" i="1"/>
  <c r="T40" i="1"/>
  <c r="AB40" i="1"/>
  <c r="AC40" i="1"/>
  <c r="AF40" i="1"/>
  <c r="AD40" i="1"/>
  <c r="AJ40" i="1"/>
  <c r="AI40" i="1"/>
  <c r="AL40" i="1"/>
  <c r="AM40" i="1"/>
  <c r="AP40" i="1"/>
  <c r="AN40" i="1"/>
  <c r="AS40" i="1"/>
  <c r="AT40" i="1"/>
  <c r="D41" i="1"/>
  <c r="E41" i="1"/>
  <c r="I41" i="1"/>
  <c r="F41" i="1"/>
  <c r="N41" i="1"/>
  <c r="O41" i="1"/>
  <c r="S41" i="1"/>
  <c r="P41" i="1"/>
  <c r="T41" i="1"/>
  <c r="AB41" i="1"/>
  <c r="AC41" i="1"/>
  <c r="AD41" i="1"/>
  <c r="AJ41" i="1"/>
  <c r="AL41" i="1"/>
  <c r="AM41" i="1"/>
  <c r="AP41" i="1"/>
  <c r="AN41" i="1"/>
  <c r="AR41" i="1"/>
  <c r="D42" i="1"/>
  <c r="E42" i="1"/>
  <c r="G42" i="1"/>
  <c r="F42" i="1"/>
  <c r="F29" i="2"/>
  <c r="I42" i="1"/>
  <c r="N42" i="1"/>
  <c r="O42" i="1"/>
  <c r="P42" i="1"/>
  <c r="U42" i="1"/>
  <c r="AB42" i="1"/>
  <c r="AC42" i="1"/>
  <c r="AD42" i="1"/>
  <c r="AJ42" i="1"/>
  <c r="AL42" i="1"/>
  <c r="AM42" i="1"/>
  <c r="AP42" i="1"/>
  <c r="AN42" i="1"/>
  <c r="AS42" i="1"/>
  <c r="E46" i="1"/>
  <c r="F46" i="1"/>
  <c r="J46" i="1"/>
  <c r="L46" i="1"/>
  <c r="N46" i="1"/>
  <c r="O46" i="1"/>
  <c r="R46" i="1"/>
  <c r="P46" i="1"/>
  <c r="AC46" i="1"/>
  <c r="AF46" i="1"/>
  <c r="AD46" i="1"/>
  <c r="AI46" i="1"/>
  <c r="AL46" i="1"/>
  <c r="AM46" i="1"/>
  <c r="AO46" i="1"/>
  <c r="AQ46" i="1"/>
  <c r="AN46" i="1"/>
  <c r="D47" i="1"/>
  <c r="E47" i="1"/>
  <c r="I47" i="1"/>
  <c r="F47" i="1"/>
  <c r="L47" i="1"/>
  <c r="N47" i="1"/>
  <c r="O47" i="1"/>
  <c r="Q47" i="1"/>
  <c r="S47" i="1"/>
  <c r="P47" i="1"/>
  <c r="T47" i="1"/>
  <c r="AB47" i="1"/>
  <c r="AC47" i="1"/>
  <c r="AF47" i="1"/>
  <c r="AD47" i="1"/>
  <c r="AJ47" i="1"/>
  <c r="AI47" i="1"/>
  <c r="AL47" i="1"/>
  <c r="AM47" i="1"/>
  <c r="AN47" i="1"/>
  <c r="AT47" i="1"/>
  <c r="D48" i="1"/>
  <c r="E48" i="1"/>
  <c r="G48" i="1"/>
  <c r="F48" i="1"/>
  <c r="L48" i="1"/>
  <c r="N48" i="1"/>
  <c r="O48" i="1"/>
  <c r="R48" i="1"/>
  <c r="P48" i="1"/>
  <c r="V48" i="1"/>
  <c r="AB48" i="1"/>
  <c r="AC48" i="1"/>
  <c r="AF48" i="1"/>
  <c r="AD48" i="1"/>
  <c r="AI48" i="1"/>
  <c r="AL48" i="1"/>
  <c r="AM48" i="1"/>
  <c r="AQ48" i="1"/>
  <c r="AN48" i="1"/>
  <c r="AR48" i="1"/>
  <c r="D49" i="1"/>
  <c r="E49" i="1"/>
  <c r="H49" i="1"/>
  <c r="F49" i="1"/>
  <c r="L49" i="1"/>
  <c r="N49" i="1"/>
  <c r="O49" i="1"/>
  <c r="S49" i="1"/>
  <c r="R49" i="1"/>
  <c r="P49" i="1"/>
  <c r="AB49" i="1"/>
  <c r="AC49" i="1"/>
  <c r="AD49" i="1"/>
  <c r="AI49" i="1"/>
  <c r="AL49" i="1"/>
  <c r="AM49" i="1"/>
  <c r="AQ49" i="1"/>
  <c r="AN49" i="1"/>
  <c r="AR49" i="1"/>
  <c r="D9" i="2"/>
  <c r="E9" i="2"/>
  <c r="F9" i="2"/>
  <c r="G9" i="2"/>
  <c r="I9" i="2"/>
  <c r="J9" i="2"/>
  <c r="K9" i="2"/>
  <c r="E11" i="2"/>
  <c r="H11" i="2"/>
  <c r="I11" i="2"/>
  <c r="D12" i="2"/>
  <c r="H12" i="2"/>
  <c r="H6" i="4"/>
  <c r="K6" i="4"/>
  <c r="N6" i="4"/>
  <c r="Q6" i="4"/>
  <c r="T6" i="4"/>
  <c r="W6" i="4"/>
  <c r="D33" i="4"/>
  <c r="D35" i="4" s="1"/>
  <c r="G33" i="4"/>
  <c r="G35" i="4" s="1"/>
  <c r="J33" i="4"/>
  <c r="M33" i="4"/>
  <c r="M35" i="4" s="1"/>
  <c r="P33" i="4"/>
  <c r="S33" i="4"/>
  <c r="V33" i="4"/>
  <c r="Y33" i="4"/>
  <c r="B4" i="5"/>
  <c r="E4" i="5"/>
  <c r="H4" i="5"/>
  <c r="K4" i="5"/>
  <c r="N4" i="5"/>
  <c r="Q4" i="5"/>
  <c r="T4" i="5"/>
  <c r="W4" i="5"/>
  <c r="A55" i="5"/>
  <c r="A20" i="7"/>
  <c r="B20" i="7"/>
  <c r="C20" i="7"/>
  <c r="D20" i="7"/>
  <c r="E20" i="7"/>
  <c r="F20" i="7"/>
  <c r="M20" i="7"/>
  <c r="N20" i="7"/>
  <c r="O20" i="7"/>
  <c r="P20" i="7"/>
  <c r="Q20" i="7"/>
  <c r="R20" i="7"/>
  <c r="A21" i="7"/>
  <c r="B21" i="7"/>
  <c r="C21" i="7"/>
  <c r="H21" i="7"/>
  <c r="D21" i="7"/>
  <c r="E21" i="7"/>
  <c r="F21" i="7"/>
  <c r="M21" i="7"/>
  <c r="N21" i="7"/>
  <c r="S21" i="7"/>
  <c r="O21" i="7"/>
  <c r="P21" i="7"/>
  <c r="U21" i="7"/>
  <c r="V21" i="7"/>
  <c r="Q21" i="7"/>
  <c r="R21" i="7"/>
  <c r="W25" i="7"/>
  <c r="X25" i="7"/>
  <c r="Y25" i="7"/>
  <c r="Z25" i="7"/>
  <c r="AA25" i="7"/>
  <c r="AB25" i="7"/>
  <c r="W26" i="7"/>
  <c r="X26" i="7"/>
  <c r="Y26" i="7"/>
  <c r="Z26" i="7"/>
  <c r="AA26" i="7"/>
  <c r="AB26" i="7"/>
  <c r="A27" i="7"/>
  <c r="B27" i="7"/>
  <c r="C27" i="7"/>
  <c r="D27" i="7"/>
  <c r="E27" i="7"/>
  <c r="F27" i="7"/>
  <c r="M27" i="7"/>
  <c r="N27" i="7"/>
  <c r="O27" i="7"/>
  <c r="P27" i="7"/>
  <c r="Q27" i="7"/>
  <c r="R27" i="7"/>
  <c r="A28" i="7"/>
  <c r="B28" i="7"/>
  <c r="C28" i="7"/>
  <c r="D28" i="7"/>
  <c r="E28" i="7"/>
  <c r="F28" i="7"/>
  <c r="M28" i="7"/>
  <c r="N28" i="7"/>
  <c r="S28" i="7"/>
  <c r="O28" i="7"/>
  <c r="T28" i="7"/>
  <c r="P28" i="7"/>
  <c r="U28" i="7"/>
  <c r="Q28" i="7"/>
  <c r="R28" i="7"/>
  <c r="W31" i="7"/>
  <c r="X31" i="7"/>
  <c r="Y31" i="7"/>
  <c r="Z31" i="7"/>
  <c r="AA31" i="7"/>
  <c r="AB31" i="7"/>
  <c r="A34" i="7"/>
  <c r="B34" i="7"/>
  <c r="C34" i="7"/>
  <c r="D34" i="7"/>
  <c r="E34" i="7"/>
  <c r="F34" i="7"/>
  <c r="M34" i="7"/>
  <c r="N34" i="7"/>
  <c r="O34" i="7"/>
  <c r="P34" i="7"/>
  <c r="Q34" i="7"/>
  <c r="R34" i="7"/>
  <c r="A35" i="7"/>
  <c r="B35" i="7"/>
  <c r="G35" i="7"/>
  <c r="C35" i="7"/>
  <c r="D35" i="7"/>
  <c r="J35" i="7"/>
  <c r="I35" i="7"/>
  <c r="E35" i="7"/>
  <c r="F35" i="7"/>
  <c r="M35" i="7"/>
  <c r="N35" i="7"/>
  <c r="O35" i="7"/>
  <c r="T35" i="7"/>
  <c r="P35" i="7"/>
  <c r="Q35" i="7"/>
  <c r="R35" i="7"/>
  <c r="L49" i="7"/>
  <c r="L50" i="7"/>
  <c r="L51" i="7"/>
  <c r="D29" i="3"/>
  <c r="G29" i="3"/>
  <c r="G31" i="3"/>
  <c r="K21" i="8"/>
  <c r="J23" i="8"/>
  <c r="I28" i="1"/>
  <c r="AE47" i="1"/>
  <c r="AE40" i="1"/>
  <c r="U7" i="1"/>
  <c r="U47" i="1"/>
  <c r="V41" i="1"/>
  <c r="AT32" i="1"/>
  <c r="H27" i="1"/>
  <c r="AS25" i="1"/>
  <c r="H25" i="1"/>
  <c r="I25" i="1"/>
  <c r="Q19" i="1"/>
  <c r="V14" i="1"/>
  <c r="AF13" i="1"/>
  <c r="U13" i="1"/>
  <c r="V13" i="1"/>
  <c r="S34" i="1"/>
  <c r="AE11" i="1"/>
  <c r="R12" i="1"/>
  <c r="K49" i="1"/>
  <c r="S6" i="1"/>
  <c r="AJ6" i="1"/>
  <c r="S5" i="1"/>
  <c r="Q5" i="1"/>
  <c r="Q14" i="1"/>
  <c r="S12" i="1"/>
  <c r="R7" i="1"/>
  <c r="S7" i="1"/>
  <c r="Q26" i="1"/>
  <c r="V34" i="1"/>
  <c r="T35" i="1"/>
  <c r="U32" i="1"/>
  <c r="T32" i="1"/>
  <c r="V47" i="1"/>
  <c r="Q48" i="1"/>
  <c r="U48" i="1"/>
  <c r="J14" i="2"/>
  <c r="J11" i="2"/>
  <c r="J12" i="2"/>
  <c r="I6" i="1"/>
  <c r="G6" i="1"/>
  <c r="I5" i="1"/>
  <c r="G11" i="2"/>
  <c r="G12" i="2"/>
  <c r="G5" i="1"/>
  <c r="AJ5" i="1"/>
  <c r="AF34" i="1"/>
  <c r="AE34" i="1"/>
  <c r="AI35" i="1"/>
  <c r="AH35" i="1"/>
  <c r="AG33" i="1"/>
  <c r="AI33" i="1"/>
  <c r="AG18" i="1"/>
  <c r="AI20" i="1"/>
  <c r="AH20" i="1"/>
  <c r="AH48" i="1"/>
  <c r="AJ49" i="1"/>
  <c r="AT6" i="1"/>
  <c r="AS6" i="1"/>
  <c r="AQ6" i="1"/>
  <c r="AH46" i="1"/>
  <c r="AR5" i="1"/>
  <c r="AO13" i="1"/>
  <c r="AP13" i="1"/>
  <c r="AP19" i="1"/>
  <c r="AO20" i="1"/>
  <c r="AO28" i="1"/>
  <c r="AS27" i="1"/>
  <c r="AR25" i="1"/>
  <c r="AP32" i="1"/>
  <c r="AQ42" i="1"/>
  <c r="AQ39" i="1"/>
  <c r="AS49" i="1"/>
  <c r="AS48" i="1"/>
  <c r="AO48" i="1"/>
  <c r="AH25" i="1"/>
  <c r="AP49" i="1"/>
  <c r="J25" i="1"/>
  <c r="L25" i="1"/>
  <c r="AH12" i="1"/>
  <c r="I14" i="1"/>
  <c r="I12" i="1"/>
  <c r="I11" i="1"/>
  <c r="I13" i="2"/>
  <c r="G11" i="1"/>
  <c r="I12" i="2"/>
  <c r="G18" i="1"/>
  <c r="I18" i="1"/>
  <c r="J20" i="1"/>
  <c r="D13" i="2"/>
  <c r="I20" i="1"/>
  <c r="H20" i="1"/>
  <c r="K20" i="1"/>
  <c r="K19" i="1"/>
  <c r="G26" i="1"/>
  <c r="J26" i="1"/>
  <c r="I14" i="2"/>
  <c r="K28" i="1"/>
  <c r="H28" i="1"/>
  <c r="J28" i="1"/>
  <c r="H33" i="1"/>
  <c r="H34" i="1"/>
  <c r="K35" i="1"/>
  <c r="H42" i="1"/>
  <c r="J40" i="1"/>
  <c r="K40" i="1"/>
  <c r="G41" i="1"/>
  <c r="J41" i="1"/>
  <c r="L41" i="1"/>
  <c r="J39" i="1"/>
  <c r="G39" i="1"/>
  <c r="I49" i="1"/>
  <c r="J49" i="1"/>
  <c r="G49" i="1"/>
  <c r="I48" i="1"/>
  <c r="H47" i="1"/>
  <c r="K47" i="1"/>
  <c r="G47" i="1"/>
  <c r="H46" i="1"/>
  <c r="G46" i="1"/>
  <c r="I46" i="1"/>
  <c r="K46" i="1"/>
  <c r="U5" i="1"/>
  <c r="V5" i="1"/>
  <c r="AH5" i="1"/>
  <c r="AE4" i="1"/>
  <c r="AH4" i="1"/>
  <c r="Q11" i="1"/>
  <c r="V11" i="1"/>
  <c r="U28" i="1"/>
  <c r="U27" i="1"/>
  <c r="T34" i="1"/>
  <c r="R41" i="1"/>
  <c r="V40" i="1"/>
  <c r="U40" i="1"/>
  <c r="Q49" i="1"/>
  <c r="S48" i="1"/>
  <c r="S46" i="1"/>
  <c r="R47" i="1"/>
  <c r="AE5" i="1"/>
  <c r="AE7" i="1"/>
  <c r="AJ12" i="1"/>
  <c r="D30" i="2"/>
  <c r="AG19" i="1"/>
  <c r="AE28" i="1"/>
  <c r="AJ25" i="1"/>
  <c r="AE26" i="1"/>
  <c r="AG26" i="1"/>
  <c r="AF35" i="1"/>
  <c r="R21" i="1"/>
  <c r="T21" i="1"/>
  <c r="K5" i="1"/>
  <c r="K4" i="1"/>
  <c r="I4" i="1"/>
  <c r="J7" i="1"/>
  <c r="I7" i="1"/>
  <c r="AF42" i="1"/>
  <c r="AI42" i="1"/>
  <c r="AH42" i="1"/>
  <c r="AG40" i="1"/>
  <c r="AH41" i="1"/>
  <c r="AI41" i="1"/>
  <c r="AI39" i="1"/>
  <c r="AG49" i="1"/>
  <c r="AG47" i="1"/>
  <c r="AP6" i="1"/>
  <c r="AS4" i="1"/>
  <c r="AQ7" i="1"/>
  <c r="AO7" i="1"/>
  <c r="AR7" i="1"/>
  <c r="AQ14" i="1"/>
  <c r="AR14" i="1"/>
  <c r="AP14" i="1"/>
  <c r="AS12" i="1"/>
  <c r="AQ11" i="1"/>
  <c r="AO11" i="1"/>
  <c r="AO34" i="1"/>
  <c r="AT34" i="1"/>
  <c r="AS32" i="1"/>
  <c r="AP21" i="1"/>
  <c r="AR40" i="1"/>
  <c r="AO49" i="1"/>
  <c r="AT48" i="1"/>
  <c r="AT25" i="1"/>
  <c r="AT27" i="1"/>
  <c r="J28" i="7"/>
  <c r="S35" i="7"/>
  <c r="H35" i="7"/>
  <c r="U35" i="7"/>
  <c r="AJ21" i="1"/>
  <c r="AH21" i="1"/>
  <c r="AP48" i="1"/>
  <c r="AS47" i="1"/>
  <c r="K11" i="2"/>
  <c r="J6" i="1"/>
  <c r="F11" i="2"/>
  <c r="L5" i="1"/>
  <c r="G4" i="1"/>
  <c r="F13" i="2"/>
  <c r="F14" i="2"/>
  <c r="I13" i="1"/>
  <c r="K13" i="1"/>
  <c r="L13" i="1"/>
  <c r="J13" i="1"/>
  <c r="F12" i="2"/>
  <c r="G13" i="1"/>
  <c r="F15" i="2"/>
  <c r="J12" i="1"/>
  <c r="G21" i="1"/>
  <c r="J13" i="2"/>
  <c r="J18" i="1"/>
  <c r="K18" i="1"/>
  <c r="J19" i="1"/>
  <c r="H19" i="1"/>
  <c r="J27" i="1"/>
  <c r="G27" i="1"/>
  <c r="L27" i="1"/>
  <c r="K27" i="1"/>
  <c r="K26" i="1"/>
  <c r="G34" i="1"/>
  <c r="E19" i="2"/>
  <c r="L33" i="1"/>
  <c r="I32" i="1"/>
  <c r="G16" i="2"/>
  <c r="G32" i="1"/>
  <c r="K41" i="1"/>
  <c r="H41" i="1"/>
  <c r="I40" i="1"/>
  <c r="K39" i="1"/>
  <c r="H39" i="1"/>
  <c r="H48" i="1"/>
  <c r="J47" i="1"/>
  <c r="AI4" i="1"/>
  <c r="AG4" i="1"/>
  <c r="AF6" i="1"/>
  <c r="AI6" i="1"/>
  <c r="V6" i="1"/>
  <c r="T6" i="1"/>
  <c r="U6" i="1"/>
  <c r="R4" i="1"/>
  <c r="S4" i="1"/>
  <c r="U14" i="1"/>
  <c r="E23" i="2"/>
  <c r="Q18" i="1"/>
  <c r="E27" i="2"/>
  <c r="S18" i="1"/>
  <c r="S21" i="1"/>
  <c r="J27" i="2"/>
  <c r="U21" i="1"/>
  <c r="V19" i="1"/>
  <c r="S19" i="1"/>
  <c r="V27" i="1"/>
  <c r="S26" i="1"/>
  <c r="S33" i="1"/>
  <c r="S35" i="1"/>
  <c r="Q35" i="1"/>
  <c r="R34" i="1"/>
  <c r="T33" i="1"/>
  <c r="U33" i="1"/>
  <c r="V33" i="1"/>
  <c r="Q41" i="1"/>
  <c r="R39" i="1"/>
  <c r="V39" i="1"/>
  <c r="R42" i="1"/>
  <c r="T42" i="1"/>
  <c r="V42" i="1"/>
  <c r="S39" i="1"/>
  <c r="Q46" i="1"/>
  <c r="AJ7" i="1"/>
  <c r="AI7" i="1"/>
  <c r="AG7" i="1"/>
  <c r="AF14" i="1"/>
  <c r="AG11" i="1"/>
  <c r="AJ13" i="1"/>
  <c r="AE13" i="1"/>
  <c r="AG13" i="1"/>
  <c r="AH13" i="1"/>
  <c r="AI18" i="1"/>
  <c r="AE20" i="1"/>
  <c r="AH19" i="1"/>
  <c r="AE19" i="1"/>
  <c r="AF19" i="1"/>
  <c r="N11" i="7"/>
  <c r="O19" i="7" s="1"/>
  <c r="AF27" i="1"/>
  <c r="AJ27" i="1"/>
  <c r="H28" i="2"/>
  <c r="E29" i="2"/>
  <c r="AG27" i="1"/>
  <c r="AJ26" i="1"/>
  <c r="AI26" i="1"/>
  <c r="AJ39" i="1"/>
  <c r="AG39" i="1"/>
  <c r="AF39" i="1"/>
  <c r="AF33" i="1"/>
  <c r="AH33" i="1"/>
  <c r="AG34" i="1"/>
  <c r="AE32" i="1"/>
  <c r="AI32" i="1"/>
  <c r="H33" i="2"/>
  <c r="AF32" i="1"/>
  <c r="G31" i="2"/>
  <c r="AH40" i="1"/>
  <c r="AJ48" i="1"/>
  <c r="H14" i="8"/>
  <c r="AG46" i="1"/>
  <c r="AJ46" i="1"/>
  <c r="AE46" i="1"/>
  <c r="AH47" i="1"/>
  <c r="AH49" i="1"/>
  <c r="AS13" i="1"/>
  <c r="AT13" i="1"/>
  <c r="AR12" i="1"/>
  <c r="AT11" i="1"/>
  <c r="AS14" i="1"/>
  <c r="AS18" i="1"/>
  <c r="AR18" i="1"/>
  <c r="AQ18" i="1"/>
  <c r="AO18" i="1"/>
  <c r="AQ19" i="1"/>
  <c r="AP25" i="1"/>
  <c r="AO25" i="1"/>
  <c r="AR26" i="1"/>
  <c r="B9" i="8"/>
  <c r="H18" i="8"/>
  <c r="AS28" i="1"/>
  <c r="AR28" i="1"/>
  <c r="AO32" i="1"/>
  <c r="AR34" i="1"/>
  <c r="AS33" i="1"/>
  <c r="AT33" i="1"/>
  <c r="AO35" i="1"/>
  <c r="AP35" i="1"/>
  <c r="AS41" i="1"/>
  <c r="AO41" i="1"/>
  <c r="AT41" i="1"/>
  <c r="AQ41" i="1"/>
  <c r="AQ40" i="1"/>
  <c r="AO40" i="1"/>
  <c r="AO39" i="1"/>
  <c r="B6" i="8"/>
  <c r="B22" i="8"/>
  <c r="H16" i="8"/>
  <c r="B11" i="8"/>
  <c r="H17" i="8"/>
  <c r="AO42" i="1"/>
  <c r="B25" i="8"/>
  <c r="B5" i="8"/>
  <c r="B4" i="8"/>
  <c r="AR47" i="1"/>
  <c r="G21" i="7"/>
  <c r="AQ5" i="1"/>
  <c r="AO5" i="1"/>
  <c r="AO4" i="1"/>
  <c r="AQ4" i="1"/>
  <c r="AT4" i="1"/>
  <c r="H28" i="7"/>
  <c r="T21" i="7"/>
  <c r="V35" i="7"/>
  <c r="I28" i="7"/>
  <c r="B12" i="7"/>
  <c r="B32" i="7" s="1"/>
  <c r="B8" i="8"/>
  <c r="BF20" i="1"/>
  <c r="BK20" i="1" s="1"/>
  <c r="B21" i="8"/>
  <c r="H15" i="8"/>
  <c r="BF16" i="1"/>
  <c r="BK16" i="1" s="1"/>
  <c r="V28" i="1"/>
  <c r="U41" i="1"/>
  <c r="BF12" i="1"/>
  <c r="BK12" i="1" s="1"/>
  <c r="AG25" i="1"/>
  <c r="BF18" i="1"/>
  <c r="BK18" i="1" s="1"/>
  <c r="BF14" i="1"/>
  <c r="BK14" i="1" s="1"/>
  <c r="BF10" i="1"/>
  <c r="BK10" i="1" s="1"/>
  <c r="AE25" i="1"/>
  <c r="AH27" i="1"/>
  <c r="AF41" i="1"/>
  <c r="AT49" i="1"/>
  <c r="BC6" i="1"/>
  <c r="H13" i="2"/>
  <c r="BF6" i="1"/>
  <c r="BK6" i="1" s="1"/>
  <c r="BC14" i="1"/>
  <c r="H19" i="2"/>
  <c r="R11" i="1"/>
  <c r="R14" i="1"/>
  <c r="S14" i="1"/>
  <c r="C11" i="8"/>
  <c r="E11" i="8" s="1"/>
  <c r="I20" i="8" s="1"/>
  <c r="F32" i="2"/>
  <c r="H38" i="2"/>
  <c r="H29" i="2"/>
  <c r="U12" i="7"/>
  <c r="U11" i="7"/>
  <c r="U10" i="7"/>
  <c r="U40" i="7" s="1"/>
  <c r="I10" i="7"/>
  <c r="I41" i="7" s="1"/>
  <c r="I11" i="7"/>
  <c r="I40" i="7" s="1"/>
  <c r="BC20" i="1"/>
  <c r="C8" i="8"/>
  <c r="E8" i="8" s="1"/>
  <c r="I17" i="8" s="1"/>
  <c r="BC16" i="1"/>
  <c r="I12" i="7"/>
  <c r="I39" i="7" s="1"/>
  <c r="I9" i="7"/>
  <c r="I42" i="7" s="1"/>
  <c r="BC18" i="1"/>
  <c r="C5" i="8"/>
  <c r="BC12" i="1"/>
  <c r="B9" i="7"/>
  <c r="B33" i="7" s="1"/>
  <c r="B10" i="8"/>
  <c r="O25" i="7"/>
  <c r="B20" i="8"/>
  <c r="B23" i="8"/>
  <c r="B27" i="8"/>
  <c r="N12" i="7"/>
  <c r="N26" i="7" s="1"/>
  <c r="U9" i="7"/>
  <c r="U39" i="7" s="1"/>
  <c r="Q32" i="1"/>
  <c r="R32" i="1"/>
  <c r="Q25" i="1"/>
  <c r="S25" i="1"/>
  <c r="U18" i="1"/>
  <c r="T18" i="1"/>
  <c r="BI14" i="1"/>
  <c r="AQ26" i="1"/>
  <c r="AP26" i="1"/>
  <c r="R13" i="1"/>
  <c r="S13" i="1"/>
  <c r="Q13" i="1"/>
  <c r="BI18" i="1"/>
  <c r="J21" i="2"/>
  <c r="D16" i="2"/>
  <c r="F20" i="2"/>
  <c r="J35" i="2"/>
  <c r="D36" i="2"/>
  <c r="G28" i="2"/>
  <c r="L34" i="1"/>
  <c r="F17" i="2"/>
  <c r="Q33" i="1"/>
  <c r="R33" i="1"/>
  <c r="L21" i="1"/>
  <c r="K21" i="1"/>
  <c r="J21" i="1"/>
  <c r="AR19" i="1"/>
  <c r="AT19" i="1"/>
  <c r="E16" i="2"/>
  <c r="E22" i="2"/>
  <c r="E26" i="2"/>
  <c r="E18" i="2"/>
  <c r="E15" i="2"/>
  <c r="E24" i="2"/>
  <c r="E25" i="2"/>
  <c r="E33" i="2"/>
  <c r="E38" i="2"/>
  <c r="E20" i="2"/>
  <c r="E34" i="2"/>
  <c r="E28" i="2"/>
  <c r="E36" i="2"/>
  <c r="E12" i="2"/>
  <c r="E21" i="2"/>
  <c r="E31" i="2"/>
  <c r="E35" i="2"/>
  <c r="E14" i="2"/>
  <c r="E17" i="2"/>
  <c r="E13" i="2"/>
  <c r="E30" i="2"/>
  <c r="E32" i="2"/>
  <c r="AG6" i="1"/>
  <c r="AE6" i="1"/>
  <c r="BI16" i="1"/>
  <c r="AR46" i="1"/>
  <c r="AT46" i="1"/>
  <c r="AS46" i="1"/>
  <c r="D21" i="2"/>
  <c r="D26" i="2"/>
  <c r="D38" i="2"/>
  <c r="D20" i="2"/>
  <c r="D17" i="2"/>
  <c r="D37" i="2"/>
  <c r="D33" i="2"/>
  <c r="D22" i="2"/>
  <c r="D18" i="2"/>
  <c r="D31" i="2"/>
  <c r="I35" i="1"/>
  <c r="D28" i="2"/>
  <c r="AJ28" i="1"/>
  <c r="AI28" i="1"/>
  <c r="K12" i="2"/>
  <c r="K18" i="2"/>
  <c r="K21" i="2"/>
  <c r="K23" i="2"/>
  <c r="K28" i="2"/>
  <c r="BI10" i="1"/>
  <c r="K15" i="2"/>
  <c r="K27" i="2"/>
  <c r="K31" i="2"/>
  <c r="K37" i="2"/>
  <c r="K13" i="2"/>
  <c r="K11" i="1"/>
  <c r="K20" i="2"/>
  <c r="K22" i="2"/>
  <c r="K34" i="2"/>
  <c r="K38" i="2"/>
  <c r="K17" i="2"/>
  <c r="J11" i="1"/>
  <c r="K36" i="2"/>
  <c r="K33" i="2"/>
  <c r="J28" i="2"/>
  <c r="AT42" i="1"/>
  <c r="G27" i="2"/>
  <c r="K32" i="2"/>
  <c r="F22" i="2"/>
  <c r="J21" i="7"/>
  <c r="I21" i="7"/>
  <c r="AP47" i="1"/>
  <c r="AO47" i="1"/>
  <c r="AT39" i="1"/>
  <c r="AS39" i="1"/>
  <c r="AR39" i="1"/>
  <c r="H22" i="2"/>
  <c r="J32" i="1"/>
  <c r="H36" i="2"/>
  <c r="H20" i="2"/>
  <c r="H24" i="2"/>
  <c r="H27" i="2"/>
  <c r="H25" i="2"/>
  <c r="H18" i="2"/>
  <c r="H23" i="2"/>
  <c r="L32" i="1"/>
  <c r="H31" i="2"/>
  <c r="H21" i="2"/>
  <c r="S27" i="1"/>
  <c r="R27" i="1"/>
  <c r="AT20" i="1"/>
  <c r="AS20" i="1"/>
  <c r="AR20" i="1"/>
  <c r="F19" i="2"/>
  <c r="J37" i="2"/>
  <c r="AP46" i="1"/>
  <c r="AR35" i="1"/>
  <c r="G29" i="2"/>
  <c r="K29" i="2"/>
  <c r="F36" i="2"/>
  <c r="K24" i="2"/>
  <c r="K19" i="2"/>
  <c r="H15" i="2"/>
  <c r="D32" i="2"/>
  <c r="K16" i="2"/>
  <c r="U12" i="1"/>
  <c r="D31" i="3"/>
  <c r="AF49" i="1"/>
  <c r="AE49" i="1"/>
  <c r="J48" i="1"/>
  <c r="K48" i="1"/>
  <c r="R28" i="1"/>
  <c r="S28" i="1"/>
  <c r="Q28" i="1"/>
  <c r="AO27" i="1"/>
  <c r="AP27" i="1"/>
  <c r="AE21" i="1"/>
  <c r="AF21" i="1"/>
  <c r="AG21" i="1"/>
  <c r="I21" i="1"/>
  <c r="S20" i="1"/>
  <c r="Q20" i="1"/>
  <c r="J24" i="2"/>
  <c r="J20" i="2"/>
  <c r="J14" i="1"/>
  <c r="J16" i="2"/>
  <c r="L14" i="1"/>
  <c r="J23" i="2"/>
  <c r="J38" i="2"/>
  <c r="J30" i="2"/>
  <c r="J29" i="2"/>
  <c r="J31" i="2"/>
  <c r="J18" i="2"/>
  <c r="J26" i="2"/>
  <c r="J36" i="2"/>
  <c r="J33" i="2"/>
  <c r="J34" i="2"/>
  <c r="J15" i="2"/>
  <c r="J19" i="2"/>
  <c r="F37" i="2"/>
  <c r="AR42" i="1"/>
  <c r="J32" i="2"/>
  <c r="AG48" i="1"/>
  <c r="AE48" i="1"/>
  <c r="K33" i="1"/>
  <c r="J33" i="1"/>
  <c r="I17" i="2"/>
  <c r="I16" i="2"/>
  <c r="AI14" i="1"/>
  <c r="AJ14" i="1"/>
  <c r="F24" i="2"/>
  <c r="H34" i="2"/>
  <c r="E37" i="2"/>
  <c r="G30" i="2"/>
  <c r="H26" i="2"/>
  <c r="T20" i="1"/>
  <c r="G25" i="2"/>
  <c r="J17" i="2"/>
  <c r="D23" i="2"/>
  <c r="U20" i="1"/>
  <c r="U49" i="1"/>
  <c r="V49" i="1"/>
  <c r="T49" i="1"/>
  <c r="AG42" i="1"/>
  <c r="AE42" i="1"/>
  <c r="J35" i="1"/>
  <c r="L35" i="1"/>
  <c r="AJ34" i="1"/>
  <c r="AP28" i="1"/>
  <c r="AQ28" i="1"/>
  <c r="V26" i="1"/>
  <c r="U26" i="1"/>
  <c r="T26" i="1"/>
  <c r="U25" i="1"/>
  <c r="T25" i="1"/>
  <c r="V25" i="1"/>
  <c r="AS21" i="1"/>
  <c r="AR21" i="1"/>
  <c r="AE18" i="1"/>
  <c r="AF18" i="1"/>
  <c r="G12" i="1"/>
  <c r="H12" i="1"/>
  <c r="G37" i="2"/>
  <c r="G35" i="2"/>
  <c r="G19" i="2"/>
  <c r="G14" i="2"/>
  <c r="G17" i="2"/>
  <c r="G33" i="2"/>
  <c r="G36" i="2"/>
  <c r="G13" i="2"/>
  <c r="G18" i="2"/>
  <c r="G21" i="2"/>
  <c r="G24" i="2"/>
  <c r="G38" i="2"/>
  <c r="G23" i="2"/>
  <c r="G26" i="2"/>
  <c r="V7" i="1"/>
  <c r="T7" i="1"/>
  <c r="BI12" i="1"/>
  <c r="T46" i="1"/>
  <c r="V46" i="1"/>
  <c r="J22" i="2"/>
  <c r="D29" i="2"/>
  <c r="AO12" i="1"/>
  <c r="AQ12" i="1"/>
  <c r="D35" i="2"/>
  <c r="K30" i="2"/>
  <c r="AH28" i="1"/>
  <c r="V18" i="1"/>
  <c r="J25" i="2"/>
  <c r="S32" i="1"/>
  <c r="G35" i="1"/>
  <c r="V12" i="1"/>
  <c r="L42" i="1"/>
  <c r="F18" i="2"/>
  <c r="F16" i="2"/>
  <c r="F31" i="2"/>
  <c r="F30" i="2"/>
  <c r="F34" i="2"/>
  <c r="F25" i="2"/>
  <c r="F35" i="2"/>
  <c r="K42" i="1"/>
  <c r="F28" i="2"/>
  <c r="F26" i="2"/>
  <c r="J42" i="1"/>
  <c r="F33" i="2"/>
  <c r="F27" i="2"/>
  <c r="F38" i="2"/>
  <c r="F23" i="2"/>
  <c r="R40" i="1"/>
  <c r="S40" i="1"/>
  <c r="Q40" i="1"/>
  <c r="AQ33" i="1"/>
  <c r="AO33" i="1"/>
  <c r="H32" i="2"/>
  <c r="H37" i="2"/>
  <c r="G34" i="2"/>
  <c r="G20" i="2"/>
  <c r="H17" i="2"/>
  <c r="AQ47" i="1"/>
  <c r="D27" i="2"/>
  <c r="U46" i="1"/>
  <c r="AG35" i="1"/>
  <c r="AE35" i="1"/>
  <c r="H35" i="1"/>
  <c r="AI34" i="1"/>
  <c r="K34" i="1"/>
  <c r="R25" i="1"/>
  <c r="AI11" i="1"/>
  <c r="AJ11" i="1"/>
  <c r="L11" i="1"/>
  <c r="AE41" i="1"/>
  <c r="AG41" i="1"/>
  <c r="G33" i="1"/>
  <c r="AG28" i="1"/>
  <c r="AG14" i="1"/>
  <c r="G14" i="1"/>
  <c r="L7" i="1"/>
  <c r="K7" i="1"/>
  <c r="H14" i="2"/>
  <c r="H16" i="2"/>
  <c r="H30" i="2"/>
  <c r="AS5" i="1"/>
  <c r="BI20" i="1"/>
  <c r="T48" i="1"/>
  <c r="S42" i="1"/>
  <c r="Q42" i="1"/>
  <c r="F21" i="2"/>
  <c r="V28" i="7"/>
  <c r="AJ19" i="1"/>
  <c r="AI19" i="1"/>
  <c r="D14" i="2"/>
  <c r="D15" i="2"/>
  <c r="D24" i="2"/>
  <c r="G7" i="1"/>
  <c r="D11" i="2"/>
  <c r="D19" i="2"/>
  <c r="D34" i="2"/>
  <c r="AP34" i="1"/>
  <c r="AQ34" i="1"/>
  <c r="AG20" i="1"/>
  <c r="AF20" i="1"/>
  <c r="G19" i="1"/>
  <c r="AF12" i="1"/>
  <c r="AE12" i="1"/>
  <c r="G15" i="2"/>
  <c r="G22" i="2"/>
  <c r="G32" i="2"/>
  <c r="I15" i="2"/>
  <c r="L4" i="1"/>
  <c r="G28" i="7"/>
  <c r="H40" i="1"/>
  <c r="G40" i="1"/>
  <c r="K6" i="1"/>
  <c r="K14" i="2"/>
  <c r="K25" i="2"/>
  <c r="K35" i="2"/>
  <c r="I22" i="2"/>
  <c r="I37" i="2"/>
  <c r="U4" i="1"/>
  <c r="I33" i="2"/>
  <c r="I23" i="2"/>
  <c r="T4" i="1"/>
  <c r="BI8" i="1"/>
  <c r="I19" i="2"/>
  <c r="I36" i="2"/>
  <c r="I20" i="2"/>
  <c r="I25" i="2"/>
  <c r="I35" i="2"/>
  <c r="I24" i="2"/>
  <c r="I30" i="2"/>
  <c r="I27" i="2"/>
  <c r="I32" i="2"/>
  <c r="I34" i="2"/>
  <c r="I38" i="2"/>
  <c r="I18" i="2"/>
  <c r="I29" i="2"/>
  <c r="I21" i="2"/>
  <c r="I26" i="2"/>
  <c r="I31" i="2"/>
  <c r="V4" i="1"/>
  <c r="C32" i="7"/>
  <c r="B25" i="7"/>
  <c r="C26" i="7"/>
  <c r="N19" i="7"/>
  <c r="O33" i="7"/>
  <c r="O26" i="7"/>
  <c r="C23" i="8"/>
  <c r="C22" i="8"/>
  <c r="N32" i="7"/>
  <c r="C27" i="8"/>
  <c r="C18" i="7"/>
  <c r="B26" i="7"/>
  <c r="B19" i="7"/>
  <c r="B18" i="7"/>
  <c r="B6" i="5" l="1"/>
  <c r="G51" i="5"/>
  <c r="P35" i="4"/>
  <c r="Y51" i="5"/>
  <c r="D51" i="5"/>
  <c r="D53" i="5" s="1"/>
  <c r="J51" i="5"/>
  <c r="V35" i="4"/>
  <c r="T40" i="7"/>
  <c r="V40" i="7"/>
  <c r="J41" i="7"/>
  <c r="H42" i="7"/>
  <c r="J42" i="7"/>
  <c r="H40" i="7"/>
  <c r="L52" i="7" s="1"/>
  <c r="S35" i="4"/>
  <c r="J35" i="4"/>
  <c r="E6" i="5"/>
  <c r="P51" i="5"/>
  <c r="M51" i="5"/>
  <c r="S51" i="5"/>
  <c r="V51" i="5"/>
  <c r="X39" i="7"/>
  <c r="C24" i="8"/>
  <c r="L39" i="7"/>
  <c r="D26" i="8"/>
  <c r="E26" i="8" s="1"/>
  <c r="J19" i="8" s="1"/>
  <c r="L19" i="8" s="1"/>
  <c r="N19" i="8" s="1"/>
  <c r="D27" i="8"/>
  <c r="E27" i="8" s="1"/>
  <c r="J20" i="8" s="1"/>
  <c r="L20" i="8" s="1"/>
  <c r="N20" i="8" s="1"/>
  <c r="D20" i="8"/>
  <c r="E20" i="8" s="1"/>
  <c r="J13" i="8" s="1"/>
  <c r="D24" i="8"/>
  <c r="E24" i="8" s="1"/>
  <c r="J17" i="8" s="1"/>
  <c r="L17" i="8" s="1"/>
  <c r="N17" i="8" s="1"/>
  <c r="C28" i="8"/>
  <c r="E30" i="8" s="1"/>
  <c r="E31" i="8" s="1"/>
  <c r="D25" i="8" s="1"/>
  <c r="E25" i="8" s="1"/>
  <c r="J18" i="8" s="1"/>
  <c r="L18" i="8" s="1"/>
  <c r="N18" i="8" s="1"/>
  <c r="Y35" i="4"/>
  <c r="T6" i="5"/>
  <c r="Q6" i="5"/>
  <c r="N6" i="5"/>
  <c r="W6" i="5"/>
  <c r="H6" i="5"/>
  <c r="K6" i="5"/>
  <c r="B39" i="7"/>
  <c r="O18" i="7"/>
  <c r="C12" i="8"/>
  <c r="D4" i="8" s="1"/>
  <c r="N25" i="7"/>
  <c r="O32" i="7"/>
  <c r="N18" i="7"/>
  <c r="C25" i="7"/>
  <c r="G53" i="5" l="1"/>
  <c r="Y53" i="5"/>
  <c r="P53" i="5"/>
  <c r="J53" i="5"/>
  <c r="M53" i="5"/>
  <c r="S53" i="5"/>
  <c r="V53" i="5"/>
  <c r="D22" i="8"/>
  <c r="E22" i="8" s="1"/>
  <c r="J15" i="8" s="1"/>
  <c r="L15" i="8" s="1"/>
  <c r="N15" i="8" s="1"/>
  <c r="E32" i="8"/>
  <c r="E14" i="8"/>
  <c r="J24" i="8" s="1"/>
  <c r="D5" i="8"/>
  <c r="E5" i="8" s="1"/>
  <c r="I14" i="8" s="1"/>
  <c r="E4" i="8"/>
  <c r="I13" i="8" s="1"/>
  <c r="D21" i="8" l="1"/>
  <c r="E21" i="8" s="1"/>
  <c r="J14" i="8" s="1"/>
  <c r="D23" i="8"/>
  <c r="E23" i="8" s="1"/>
  <c r="J16" i="8" s="1"/>
  <c r="L16" i="8" s="1"/>
  <c r="N16" i="8" s="1"/>
  <c r="D12" i="8"/>
  <c r="E12" i="8" s="1"/>
  <c r="I21" i="8"/>
  <c r="L13" i="8"/>
  <c r="N13" i="8" s="1"/>
  <c r="D28" i="8" l="1"/>
  <c r="E28" i="8" s="1"/>
  <c r="J21" i="8"/>
  <c r="L14" i="8"/>
  <c r="N14" i="8" s="1"/>
  <c r="L22" i="8" s="1"/>
  <c r="L21" i="8" l="1"/>
  <c r="N21" i="8" s="1"/>
</calcChain>
</file>

<file path=xl/sharedStrings.xml><?xml version="1.0" encoding="utf-8"?>
<sst xmlns="http://schemas.openxmlformats.org/spreadsheetml/2006/main" count="692" uniqueCount="473">
  <si>
    <t>ANDATA</t>
  </si>
  <si>
    <t>1ª GIORNATA  -  1° GIRONE</t>
  </si>
  <si>
    <t>RITORNO</t>
  </si>
  <si>
    <t>1ª GIORNATA  -  2° GIRONE</t>
  </si>
  <si>
    <t>SQUADRE</t>
  </si>
  <si>
    <t>PUNTI</t>
  </si>
  <si>
    <t>VITTORIE</t>
  </si>
  <si>
    <t>PAREGGI</t>
  </si>
  <si>
    <t>SCONFITTE</t>
  </si>
  <si>
    <t>GIOCATE</t>
  </si>
  <si>
    <t>GOAL FATTI</t>
  </si>
  <si>
    <t>GOAL SUBITI</t>
  </si>
  <si>
    <t>DIFFERENZA</t>
  </si>
  <si>
    <t>SPAREGGI</t>
  </si>
  <si>
    <t>PUNTEGGIO REALE</t>
  </si>
  <si>
    <t>PENALITA'</t>
  </si>
  <si>
    <t>FORMULA</t>
  </si>
  <si>
    <t>2ª GIORNATA  -  1° GIRONE</t>
  </si>
  <si>
    <t>2ª GIORNATA  -  2° GIRONE</t>
  </si>
  <si>
    <t>3ª GIORNATA  -  1° GIRONE</t>
  </si>
  <si>
    <t>3ª GIORNATA  -  2° GIRONE</t>
  </si>
  <si>
    <t>4ª GIORNATA  -  1° GIRONE</t>
  </si>
  <si>
    <t>4ª GIORNATA  -  2° GIRONE</t>
  </si>
  <si>
    <t>5ª GIORNATA  -  1° GIRONE</t>
  </si>
  <si>
    <t>5ª GIORNATA  -  2° GIRONE</t>
  </si>
  <si>
    <t>6ª GIORNATA  -  1° GIRONE</t>
  </si>
  <si>
    <t>6ª GIORNATA  -  2° GIRONE</t>
  </si>
  <si>
    <t>7ª GIORNATA  -  1° GIRONE</t>
  </si>
  <si>
    <t>7ª GIORNATA  -  2° GIRONE</t>
  </si>
  <si>
    <t>V</t>
  </si>
  <si>
    <t>P</t>
  </si>
  <si>
    <t>S</t>
  </si>
  <si>
    <t>Rose Iniziali</t>
  </si>
  <si>
    <t>Kr. Prec.</t>
  </si>
  <si>
    <t>KR</t>
  </si>
  <si>
    <t>VINCENZO</t>
  </si>
  <si>
    <t>RICCARDO</t>
  </si>
  <si>
    <t>DANIELE</t>
  </si>
  <si>
    <t>DARIO</t>
  </si>
  <si>
    <t>FABRIZIO</t>
  </si>
  <si>
    <t>ENRICO</t>
  </si>
  <si>
    <t>EUGENIO</t>
  </si>
  <si>
    <t>MOLINA</t>
  </si>
  <si>
    <t>Kr. Iniz.</t>
  </si>
  <si>
    <t>SPESI</t>
  </si>
  <si>
    <t>por.</t>
  </si>
  <si>
    <t>dif.</t>
  </si>
  <si>
    <t>cen.</t>
  </si>
  <si>
    <t>att.</t>
  </si>
  <si>
    <t xml:space="preserve">  TOT. SPESA</t>
  </si>
  <si>
    <t xml:space="preserve">  KR   RESIDUI</t>
  </si>
  <si>
    <t xml:space="preserve"> </t>
  </si>
  <si>
    <t>QUELLI IN ROSSO SONO I CONFERMATI DALL'ANNO PASSATO,QUINDI NON POSSONO ESSERE CONFERMATI PER IL PROSSIMO FANTACALCIO</t>
  </si>
  <si>
    <t>Rose Modificate</t>
  </si>
  <si>
    <t xml:space="preserve">  KR Aggiuntivi al 31 Gennaio :</t>
  </si>
  <si>
    <t xml:space="preserve">QUELLI IN BLU SONO I GIOCATORI ACQUISTATI  DURANTE LO SVOLGIMENTO DEL FANTACALCIO,QUINDI NON POSSONO ESSERE CONFERMATI  PER IL PROSSIMO </t>
  </si>
  <si>
    <t>QUELLI GRIGI SONO I GIOCATORI CEDUTI</t>
  </si>
  <si>
    <t>QUELLI IN VERDE SONO I GIOCATORI SCAMBIATI DURANTE LO SVOLGIMENTO DEL FANTACALCIO,QUINDI NON POSSONO ESSERE CONFERMATI PER IL PROSSIMO</t>
  </si>
  <si>
    <t>COPPETTA</t>
  </si>
  <si>
    <t>*</t>
  </si>
  <si>
    <t>Metti * dove stà il morto</t>
  </si>
  <si>
    <t>GIRONE SCULATI</t>
  </si>
  <si>
    <t>GIRONE  PIPPE</t>
  </si>
  <si>
    <t>SQUADRA</t>
  </si>
  <si>
    <t>GF</t>
  </si>
  <si>
    <t>GS</t>
  </si>
  <si>
    <t>DR</t>
  </si>
  <si>
    <t>GIRONE DARE</t>
  </si>
  <si>
    <t>FINALI DARE</t>
  </si>
  <si>
    <t>PRIMA GIORNATA</t>
  </si>
  <si>
    <t>andata</t>
  </si>
  <si>
    <t>ritorno</t>
  </si>
  <si>
    <t>SEMIFINALI</t>
  </si>
  <si>
    <t>punto spareggio</t>
  </si>
  <si>
    <t>SECONDA GIORNATA</t>
  </si>
  <si>
    <t>FINALE</t>
  </si>
  <si>
    <t>TERZA GIORNATA</t>
  </si>
  <si>
    <t>VINCITORE</t>
  </si>
  <si>
    <t>CLASSIFICA FINALE GIRONE SCULATI</t>
  </si>
  <si>
    <t>CLASSIFICA FINALE GIRONE PIPPE</t>
  </si>
  <si>
    <t>TOTALE DARE</t>
  </si>
  <si>
    <t>Campionato:</t>
  </si>
  <si>
    <t>N° Posizione</t>
  </si>
  <si>
    <t xml:space="preserve">SORTEGGI SQUADRE </t>
  </si>
  <si>
    <t>Proposte d'acquisto</t>
  </si>
  <si>
    <t>Cessioni</t>
  </si>
  <si>
    <t>Kr.</t>
  </si>
  <si>
    <t>Penalità</t>
  </si>
  <si>
    <t>Utilità: Calcola Risultato</t>
  </si>
  <si>
    <t>Nome</t>
  </si>
  <si>
    <t>Voto</t>
  </si>
  <si>
    <t>In Casa</t>
  </si>
  <si>
    <t>+</t>
  </si>
  <si>
    <t xml:space="preserve">    TOTALE</t>
  </si>
  <si>
    <t xml:space="preserve">      TOTALE</t>
  </si>
  <si>
    <t>RISULTATO FINALE</t>
  </si>
  <si>
    <t>Campionato</t>
  </si>
  <si>
    <t>Giocatori</t>
  </si>
  <si>
    <t>Dare</t>
  </si>
  <si>
    <t>Avere</t>
  </si>
  <si>
    <t>Importo Totale</t>
  </si>
  <si>
    <t>Quote Partecipazione</t>
  </si>
  <si>
    <t>€</t>
  </si>
  <si>
    <t>€ a Pareggio</t>
  </si>
  <si>
    <t>€ a Sconfitta</t>
  </si>
  <si>
    <t>TOTALE  FANTACALCIO</t>
  </si>
  <si>
    <t>Totali*</t>
  </si>
  <si>
    <t>Camponato</t>
  </si>
  <si>
    <t>Coppa</t>
  </si>
  <si>
    <t xml:space="preserve">*Totale Dare a Fine Campionato: </t>
  </si>
  <si>
    <t>Meno la quota di Mortimer:</t>
  </si>
  <si>
    <t>Coppetta</t>
  </si>
  <si>
    <t>Totale a Debito</t>
  </si>
  <si>
    <t xml:space="preserve">*Totale Dare Complessivo: </t>
  </si>
  <si>
    <t>*Totale Dare a Fine Coppetta:</t>
  </si>
  <si>
    <t>Il Vincitore prende:</t>
  </si>
  <si>
    <t>80% del montepremi</t>
  </si>
  <si>
    <t>Il Secondo prende:</t>
  </si>
  <si>
    <t>20% del montepremi</t>
  </si>
  <si>
    <t>*Se non ci sono le semifinali ma solo la finale unica il totale è 50€</t>
  </si>
  <si>
    <t>*Se la finale e le semifinali sono uniche il totale sarà 54€</t>
  </si>
  <si>
    <t>*Se anche la finale è A/R il totale sarà 60€</t>
  </si>
  <si>
    <t>*Se gioca il Morto vanno tolti i suoi debiti dal montepremi coppetta.</t>
  </si>
  <si>
    <t>Regole Generali del Fantacalcio:</t>
  </si>
  <si>
    <t>N.B.</t>
  </si>
  <si>
    <t>Per Qualsiasi regola non scritta si adotterà il regolamento del sito ufficiale del fantacalcio ( www.fantacalcio.it ) per evitare controversie di qualsiasi natura.</t>
  </si>
  <si>
    <t>0°</t>
  </si>
  <si>
    <t>Ogni nuova regola o modifica delle stesse dovranno essere discusse e votate con il sistema maggioritario (50%+1 dei partecipanti non astenuti).</t>
  </si>
  <si>
    <t xml:space="preserve">Se una regola fosse poco chiara, verrà modificata a sfavore di colui che ha creato il disagio, senza danneggiare i partecipanti al gioco.  </t>
  </si>
  <si>
    <t>1°</t>
  </si>
  <si>
    <t>Se si acquista un giocatore sul mercato libero (ogni 7 giornate, al termine del calciomercato di serie A e ad inizio Coppetta) potrà essere schierato alla prima giornata disponibile ad eccezione di presenza turni infrasettimanali (si schierano a quella successiva).</t>
  </si>
  <si>
    <t>2°</t>
  </si>
  <si>
    <t>Se si acquista o si scambia un giocatore da un'altra squadra (compresi regali e prestiti) dovrà saltare una giornata di campionato.</t>
  </si>
  <si>
    <t>3°</t>
  </si>
  <si>
    <t>Gli acquisti su mercato libero si svolgeranno nel seguente modo:</t>
  </si>
  <si>
    <t>A. Si farà una sessione di Mercato libero ogni 7 giornate di campionato + 1 sessione a fine celciomercato della serie A (inizio Febbraio).</t>
  </si>
  <si>
    <t>B. La sessione di acquisti dura una settimana anche nel caso ci  sia un turno infrasettimanale (in questo caso particolare i giocatori andranno schierati la giornata successiva alla prima disponibile, cioè si salta una giornata)</t>
  </si>
  <si>
    <t>C. Gi acquisti vanno comunicati entro e non oltre martedi', se piu giocatori chiedono lo stesso calciatore nei giorni successivi lo contenderanno all'asta.</t>
  </si>
  <si>
    <t>D. Entro il giorno precedente all'inizio delle partite dell'ottava giornata (o nona in caso di turno infrasettimanale), i contendenti per uno stesso giocatore dovranno comunicare al presidente l'esito delle trattative, le cessioni e i ripieghi.</t>
  </si>
  <si>
    <t>E. Il perdente della trattativa al punto C. potrà chiedere un altro giocatore.</t>
  </si>
  <si>
    <t>F. I giocatori da cedere potranno essere rettificati entro l'ultimo giorno di mercato (definito ai punti precedenti) tramite comunicazione al presidente.</t>
  </si>
  <si>
    <t>G. Se non si comunicano i giocatori ceduti gli aquisti non vengono considerati.</t>
  </si>
  <si>
    <t>H. Se non si dispongono di crediti si puo pagare in soldi come già avviene alle aste iniziali (che vanno afondo cassa inieme alle penalità) 1 Credito = 1€.</t>
  </si>
  <si>
    <t>I.  Durante il mercao iniziale, se si vuole togliere un giocatore e prenderne un altro libero deve attendere la fine dell'asta. Quindi si considera come acquistato successivamente all'asta iniziale e non potrà essere confermato l'anno succesivo.</t>
  </si>
  <si>
    <t>4°</t>
  </si>
  <si>
    <t>Gli scambi o gli acquisti da altre squadre nelle settimane di mercato libero sono considerati come al punto 2*.</t>
  </si>
  <si>
    <t>Dopo la 21ma giornata non sono ammessi scambi o compravendite di giocatori.</t>
  </si>
  <si>
    <t>5°</t>
  </si>
  <si>
    <t>I Giocatori che si possono confermare l'anno successivo sono quelli che non sono stati già confermati l'anno precedente, ma solo quelli acquistati all' asta iniziale del precedente FantaCampinato e tenuti fino alla fine dello stesso.</t>
  </si>
  <si>
    <t>6°</t>
  </si>
  <si>
    <t>Possono essere confermati al massimo 2 difensori, 2 centrocampisti e 1 attaccante al costo del campionato precedente sempre se il ruolo rimane invariato.</t>
  </si>
  <si>
    <t>7°</t>
  </si>
  <si>
    <t>La Regola base per le formazioni è: Minimo 3 difensori massimo 3 attaccanti ed almeno un giocatore per ruolo.</t>
  </si>
  <si>
    <t xml:space="preserve">  </t>
  </si>
  <si>
    <t>8°</t>
  </si>
  <si>
    <t xml:space="preserve">I panchinari sono 7 (1 portiere, 2 difensori, 2 centrocampisti, 2 attaccanti): </t>
  </si>
  <si>
    <t>A. Nel caso in cui mancano più di 3 i voti dei giocatori entrano solo 3 riserve (che hanno preso il voto) a partire dal ruolo più basso seguendo l'ordine in cui sono state comunicate la formazione e la panchina.</t>
  </si>
  <si>
    <t>9°</t>
  </si>
  <si>
    <t>La gestione dei S.V. (senza voto):</t>
  </si>
  <si>
    <t>A. Il portiere S.V. prende voto 6 se ha giocato almeno 30 min.</t>
  </si>
  <si>
    <t>B. Se un giocatore ha giocato piu di 30 minuti ma il voto non risulta nei tabellini il voto è 6.(salvo successivi aggiornamenti del sito dei voti)</t>
  </si>
  <si>
    <t>C. Se un giocatore prende S.V. entra il sostituto anche sa ha giocato più di 30 min.</t>
  </si>
  <si>
    <t>D. Se un giocatore o portiere prende S.V. e viene espulso il voto è 4 indifferentemente dai minuti di gioco (se ammonito rimane S.V.).</t>
  </si>
  <si>
    <t>E. Se un portiere prende S.V. e subisce reti il voto è 6 al quale vengono appilcati i modificatori di voto (compresa l'ammonizione), indifferentemente dai minuti di gioco.</t>
  </si>
  <si>
    <t>F. Se un portiere fa autogoal al voto va sottratto anche il gol subito.</t>
  </si>
  <si>
    <t>10°</t>
  </si>
  <si>
    <t>Errore nella comunicazione corretta della formazione:</t>
  </si>
  <si>
    <t>A. Se si da una formazione incompleta o si schierano giocatori che non fanno parte della propria formazione: per ogni giocatore mancante o errato si prende 0. Se il giocatore errato è in panchina, non lo si conta tra i componenti della panchina.</t>
  </si>
  <si>
    <t>B. Se si da una formazione non rispettando i moduli permessi: il giocatore in ordine di comunicazione che eccede al modulo prende 0. Di conseguenza si tolgono i giocatori partendo dall'ultimo attaccantre comunicato in rispetto della regola 7° .</t>
  </si>
  <si>
    <t>11°</t>
  </si>
  <si>
    <t>I voti e i ruoli vengono presi dal "www.fantacalcioservice.it" (colonna VFS) ed hanno i seguenti modificatori:</t>
  </si>
  <si>
    <t>A. -0.5 per l'ammonizione.</t>
  </si>
  <si>
    <t>B. -1 per l'espulsione.</t>
  </si>
  <si>
    <t>C. -1 per rete subiuto dal portiere/giocatore.</t>
  </si>
  <si>
    <t>D. +3 per rigore parato dal portiere/giocatore.</t>
  </si>
  <si>
    <t>E. -2 per autogoal.</t>
  </si>
  <si>
    <t>F. +3 per rete segnata.</t>
  </si>
  <si>
    <t>G. -3 per rigore sbagliato.</t>
  </si>
  <si>
    <t xml:space="preserve">H. -1 per ammonizione + espulsione. </t>
  </si>
  <si>
    <t>12°</t>
  </si>
  <si>
    <t>Le fasce di punteggi sono ogni 6 punti a partire da 66:</t>
  </si>
  <si>
    <t>A. 0-65,9 = 1.</t>
  </si>
  <si>
    <t>B. 66-71,9 = 2.</t>
  </si>
  <si>
    <t>C. 72-77,9 = 3.</t>
  </si>
  <si>
    <t>D. 78-83,9 = 4.</t>
  </si>
  <si>
    <t>etc.</t>
  </si>
  <si>
    <t>*NOTA: se in casi paradossali ci fosse un voto tipo 6- oppure 6+, il segno meno va considerato come -0,1 mentre il segno più come +0,1.</t>
  </si>
  <si>
    <t>13°</t>
  </si>
  <si>
    <t>Le varianti di risultato finale sono:</t>
  </si>
  <si>
    <t>A. +1 se all' interno della fascia 0-0 c'è distanza di 6 punti.</t>
  </si>
  <si>
    <t>B. +1 se all' interno della stessa fascia (escluso 0-0) c'è differenza di +4 punti dall' avversario.</t>
  </si>
  <si>
    <t>C. +1 per ogni +10 punti di distacco dall' avversario.</t>
  </si>
  <si>
    <t>14°</t>
  </si>
  <si>
    <t>Comunicazioni risultati e formazioni:</t>
  </si>
  <si>
    <t>A. Il tempo limite per comunicare la formazione fino all'inizio della prima partita della giornata di campionato, altrimenti si considera quella della settimana precedente e 4€ di penale e -1 punto in Classifica generale.</t>
  </si>
  <si>
    <t>B. Se non vi ricordate contro chi giocate la formazione potete mandarla al presidente di lega.</t>
  </si>
  <si>
    <t xml:space="preserve">C. I risultati finali vanno comunicati il prima possibile (max 3gg dall'ultima partita della giornata);E in qualsiasi caso prima dell'inizio della giornata successiva dei turni infrasettimanali.Oltre questi termini si applica la penalità di 2€. </t>
  </si>
  <si>
    <t>D. Quello che viene raccimolato verrà usato per scopi piu o meno comuni!</t>
  </si>
  <si>
    <t>E. Eventuali contestazioni sui risultati acquisiti o inadempienze degli allenatori va fatta entro l'inizio della 2° giornata successiva alla fine della partita in questione (puo' intercorrere solo una giornata di campionato/coppa).</t>
  </si>
  <si>
    <t>15°</t>
  </si>
  <si>
    <t>A fine campinato In caso di parità di classifica per il podio c'è lo spareggio a chi fa il totale voti più alto e potrebbe coincidere con la prima giornata di Coppa quindi si danno 2 formazioni (anche se i parimerito sono più di 2).</t>
  </si>
  <si>
    <t>16°</t>
  </si>
  <si>
    <t>Ritiro dal gioco in svolgimento:</t>
  </si>
  <si>
    <t>Spero non debba essere applicato!</t>
  </si>
  <si>
    <t>A turno gli altri concorrenti abuseranno sessualmente dell'inadempiente.</t>
  </si>
  <si>
    <t>SALVO REALI E SERIE MOTIVAZIONI!!!</t>
  </si>
  <si>
    <t>REGOLAMENTO COPPETTA:</t>
  </si>
  <si>
    <t>Si creano 2 gironi:</t>
  </si>
  <si>
    <t>- I primi 4 (gruppo A)</t>
  </si>
  <si>
    <t>- Gli ultimi 4  (gruppo B)</t>
  </si>
  <si>
    <t xml:space="preserve"> Fanno andata e ritorno tra' di loro (6 giornate)</t>
  </si>
  <si>
    <t xml:space="preserve"> I criteri di passaggio del girone sono :</t>
  </si>
  <si>
    <t xml:space="preserve">  -Punti</t>
  </si>
  <si>
    <t xml:space="preserve">  -Classifica Avulsa(*)</t>
  </si>
  <si>
    <t>)</t>
  </si>
  <si>
    <t xml:space="preserve"> I primi 2 di ogni girone si scontrano tra di loro con andata e ritorno (2 giornate):</t>
  </si>
  <si>
    <t>1°Gru.A  Vs  2°Gru.B</t>
  </si>
  <si>
    <t>1°Gru.B  Vs  2°Gru.A</t>
  </si>
  <si>
    <t>(I criteri di passaggio sono:</t>
  </si>
  <si>
    <t xml:space="preserve">  -Dif.Reti</t>
  </si>
  <si>
    <t xml:space="preserve">  -A paritta' dei criteri sopra i goals in trasferta valgono doppi</t>
  </si>
  <si>
    <t xml:space="preserve">  -Somma dei punteggi di fantacalcio delle semifinali (a/r)</t>
  </si>
  <si>
    <t>la Finale con Andata e ritorno o solo Andata se ci fossero spareggi di campinato</t>
  </si>
  <si>
    <t>(I criteri di vittoria sono:</t>
  </si>
  <si>
    <t xml:space="preserve">  -Somma dei punteggi di fantacalcio delle finali (a/r) </t>
  </si>
  <si>
    <t>I premi:</t>
  </si>
  <si>
    <t>da ogni incontro devono uscire 2€:</t>
  </si>
  <si>
    <t>chi perde da 2€,</t>
  </si>
  <si>
    <t>se si pareggia 1€ a cranio e</t>
  </si>
  <si>
    <t>chi vince non da nulla.</t>
  </si>
  <si>
    <t>Dal girone eliminatorio escono 48€</t>
  </si>
  <si>
    <t>dalle semifinali e finali escono 2€ , 4€ , 6€ o 8€ a seconda se ci soano le semifinale e se le semifinali/finali sono A/R</t>
  </si>
  <si>
    <t>dalle finali escono 2€ o 4€ se la finale è A/R</t>
  </si>
  <si>
    <t>Il Totale è variabile: 52€ - 54€ - 58€ - 60€</t>
  </si>
  <si>
    <t>Se gioca il morto vanno tolti i suoi debiti.</t>
  </si>
  <si>
    <t>Il vicitore prende 80% della cassa.</t>
  </si>
  <si>
    <t>Il secondo prende il restante 20% della cassa.</t>
  </si>
  <si>
    <t>(*) COS'E' E COME SI APPLICA LA "CLASSIFICA AVULSA"</t>
  </si>
  <si>
    <r>
      <t xml:space="preserve">In caso di parità di punteggio fra due o più squadre al termine dei gironi eliminatori di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, si procede alla compilazione di una graduatoria (c.d. “classifica avulsa”) fra le squadre interessate, tenendo conto dell'ordine:</t>
    </r>
  </si>
  <si>
    <t>a)     dei punti conseguiti negli incontri diretti,</t>
  </si>
  <si>
    <t>b)     a parità di punti, della differenza tra le reti segnate e quelle subite negli stessi incontri;</t>
  </si>
  <si>
    <t>Nel caso in cui due o più squadre interessate permangono in parità anche nella "classifica avulsa", e ai soli fini della compilazione della relativa graduatoria, si tiene conto, nell'ordine:  </t>
  </si>
  <si>
    <r>
      <t xml:space="preserve">c)     della differenza fra reti segnate e subite nell'intera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;</t>
    </r>
  </si>
  <si>
    <r>
      <t xml:space="preserve">d)     del maggior numero di reti segnate nell'intera </t>
    </r>
    <r>
      <rPr>
        <b/>
        <sz val="10"/>
        <rFont val="Arial"/>
        <family val="2"/>
      </rPr>
      <t>Coppa</t>
    </r>
    <r>
      <rPr>
        <sz val="10"/>
        <rFont val="Arial"/>
        <family val="2"/>
      </rPr>
      <t>;</t>
    </r>
  </si>
  <si>
    <r>
      <t xml:space="preserve">e)     Il peggiore classificato nel </t>
    </r>
    <r>
      <rPr>
        <b/>
        <sz val="10"/>
        <rFont val="Arial"/>
        <family val="2"/>
      </rPr>
      <t>Campionato</t>
    </r>
    <r>
      <rPr>
        <sz val="10"/>
        <rFont val="Arial"/>
        <family val="2"/>
      </rPr>
      <t>.</t>
    </r>
  </si>
  <si>
    <t>L. Se c'è un recupero nei mesi successivi ed un giocatore vende un calciatore schierato, quest' ultimo continuerà ad essere presente/contato nella formazione originaria anche se non facente parte della squadra attuale.</t>
  </si>
  <si>
    <t>*Se solo le semifinali sono A/R il totale sarà 58€</t>
  </si>
  <si>
    <t>Sq.</t>
  </si>
  <si>
    <t>DARE</t>
  </si>
  <si>
    <t>2018/2019</t>
  </si>
  <si>
    <t>C. Se vengono comunicati piu panchinari sispetto al numedo stabilito, non verranno considerati nell'ordine inverso in cui sono stati comunicati nei rispettivi ruoli.</t>
  </si>
  <si>
    <t>B. Il Primo giocatore al quale non subentra il sostituto ha voto 4, per le successive mancanze il voto è zero (il voto d'ufficio concorre al raggiungimento per il totale delle 3 sostituzioni).</t>
  </si>
  <si>
    <t>ACQUISTI SUCCESSIVI</t>
  </si>
  <si>
    <t>kr</t>
  </si>
  <si>
    <t>Vincenzo</t>
  </si>
  <si>
    <t>Daniele</t>
  </si>
  <si>
    <t>Eugenio</t>
  </si>
  <si>
    <t>Molina</t>
  </si>
  <si>
    <t>Dario</t>
  </si>
  <si>
    <t>Riccardo</t>
  </si>
  <si>
    <t>Enrico</t>
  </si>
  <si>
    <t>Fabrizio</t>
  </si>
  <si>
    <t>NOTA:con l'app di Fantacalcio a parita di punti si applicano i calci di rigore</t>
  </si>
  <si>
    <t>Calhanoglu</t>
  </si>
  <si>
    <t>Int</t>
  </si>
  <si>
    <t>Nico Paz</t>
  </si>
  <si>
    <t>Com.</t>
  </si>
  <si>
    <t>Mussolini</t>
  </si>
  <si>
    <t>Laz.</t>
  </si>
  <si>
    <t>Solet</t>
  </si>
  <si>
    <t>Rom.</t>
  </si>
  <si>
    <t>Bissk</t>
  </si>
  <si>
    <t>int.</t>
  </si>
  <si>
    <t>Soule</t>
  </si>
  <si>
    <t>Ederson</t>
  </si>
  <si>
    <t>ata</t>
  </si>
  <si>
    <t>locatelli</t>
  </si>
  <si>
    <t>juv</t>
  </si>
  <si>
    <t>Bremer</t>
  </si>
  <si>
    <t>kalulu</t>
  </si>
  <si>
    <t>rovella</t>
  </si>
  <si>
    <t>pinamonti</t>
  </si>
  <si>
    <t>di marco</t>
  </si>
  <si>
    <t>mandragora</t>
  </si>
  <si>
    <t>Pio Esposito</t>
  </si>
  <si>
    <t>Hermoso</t>
  </si>
  <si>
    <t>comuzzo</t>
  </si>
  <si>
    <t>de bruin</t>
  </si>
  <si>
    <t>mcKanny</t>
  </si>
  <si>
    <t>hojund</t>
  </si>
  <si>
    <t>lucumi</t>
  </si>
  <si>
    <t>anguissa</t>
  </si>
  <si>
    <t>barella</t>
  </si>
  <si>
    <t>Martinez L</t>
  </si>
  <si>
    <t>fazzini</t>
  </si>
  <si>
    <t>atta</t>
  </si>
  <si>
    <t>Douvikas</t>
  </si>
  <si>
    <t>N'dicka</t>
  </si>
  <si>
    <t>kone</t>
  </si>
  <si>
    <t>pisilli</t>
  </si>
  <si>
    <t>De Ketelaere</t>
  </si>
  <si>
    <t>Ata</t>
  </si>
  <si>
    <t>Kean</t>
  </si>
  <si>
    <t>Teylor</t>
  </si>
  <si>
    <t>Palmisani</t>
  </si>
  <si>
    <t>Kolo Muani</t>
  </si>
  <si>
    <t>Adzic</t>
  </si>
  <si>
    <t>Svilar</t>
  </si>
  <si>
    <t>Wesley</t>
  </si>
  <si>
    <t>Rom</t>
  </si>
  <si>
    <t>Berardi</t>
  </si>
  <si>
    <t>Ramos G.</t>
  </si>
  <si>
    <t>Orsolini</t>
  </si>
  <si>
    <t>Carnesecchi</t>
  </si>
  <si>
    <t>Monterisi</t>
  </si>
  <si>
    <t>Meret</t>
  </si>
  <si>
    <t>Ramon</t>
  </si>
  <si>
    <t>Yildiz</t>
  </si>
  <si>
    <t>Malen</t>
  </si>
  <si>
    <t>doig</t>
  </si>
  <si>
    <t>Rabiot</t>
  </si>
  <si>
    <t>Ekkelenkamp</t>
  </si>
  <si>
    <t>Ostilgard</t>
  </si>
  <si>
    <t>Maignan</t>
  </si>
  <si>
    <t>Valeri</t>
  </si>
  <si>
    <t>Alajbegovic</t>
  </si>
  <si>
    <t>Bastoni</t>
  </si>
  <si>
    <t>cambiaghi</t>
  </si>
  <si>
    <t>Vicario</t>
  </si>
  <si>
    <t>Isaksen</t>
  </si>
  <si>
    <t>Raspadori</t>
  </si>
  <si>
    <t>Cristante</t>
  </si>
  <si>
    <t>Torriani</t>
  </si>
  <si>
    <t>Di lorenzo</t>
  </si>
  <si>
    <t>Akanji</t>
  </si>
  <si>
    <t>Bernabè</t>
  </si>
  <si>
    <t>Conceicao</t>
  </si>
  <si>
    <t>Skorupski</t>
  </si>
  <si>
    <t>Grabara</t>
  </si>
  <si>
    <t>Baldanzi</t>
  </si>
  <si>
    <t>Falcone</t>
  </si>
  <si>
    <t>Rrahmani</t>
  </si>
  <si>
    <t>Chalobah T.</t>
  </si>
  <si>
    <t>scamacca</t>
  </si>
  <si>
    <t>Thuram</t>
  </si>
  <si>
    <t>Gila</t>
  </si>
  <si>
    <t>scalvini</t>
  </si>
  <si>
    <t>Dybala</t>
  </si>
  <si>
    <t>Diego Carlos</t>
  </si>
  <si>
    <t>Woltemade</t>
  </si>
  <si>
    <t>castro</t>
  </si>
  <si>
    <t>Da Cunha</t>
  </si>
  <si>
    <t>Baturina</t>
  </si>
  <si>
    <t>Mancini</t>
  </si>
  <si>
    <t>Mora</t>
  </si>
  <si>
    <t>Delprato</t>
  </si>
  <si>
    <t>couto</t>
  </si>
  <si>
    <t>Saelemaekers</t>
  </si>
  <si>
    <t>Bragaglia</t>
  </si>
  <si>
    <t>zappacosta</t>
  </si>
  <si>
    <t>Kossounou</t>
  </si>
  <si>
    <t>frattesi</t>
  </si>
  <si>
    <t>volpato</t>
  </si>
  <si>
    <t>Vasquez</t>
  </si>
  <si>
    <t>Zielinski</t>
  </si>
  <si>
    <t>Lobotka</t>
  </si>
  <si>
    <t>Obert</t>
  </si>
  <si>
    <t>Diao</t>
  </si>
  <si>
    <t>Vojvoda</t>
  </si>
  <si>
    <t>adams</t>
  </si>
  <si>
    <t>de winter</t>
  </si>
  <si>
    <t>Diouf</t>
  </si>
  <si>
    <t>Butez</t>
  </si>
  <si>
    <t>Sanchez Ro.</t>
  </si>
  <si>
    <t>spinazzola</t>
  </si>
  <si>
    <t>Cissè A.</t>
  </si>
  <si>
    <t>Bellanova</t>
  </si>
  <si>
    <t>Mastantuono</t>
  </si>
  <si>
    <t>gatti</t>
  </si>
  <si>
    <t>Mandas</t>
  </si>
  <si>
    <t>Martinez Jo.</t>
  </si>
  <si>
    <t>McTominay</t>
  </si>
  <si>
    <t>gollini</t>
  </si>
  <si>
    <t>Davis K.</t>
  </si>
  <si>
    <t>Motta</t>
  </si>
  <si>
    <t>zaccagni</t>
  </si>
  <si>
    <t>Mina</t>
  </si>
  <si>
    <t>provedel</t>
  </si>
  <si>
    <t>de gea</t>
  </si>
  <si>
    <t>Modric</t>
  </si>
  <si>
    <t>kessie</t>
  </si>
  <si>
    <t>Marin R.</t>
  </si>
  <si>
    <t>sutalo</t>
  </si>
  <si>
    <t>Bernardeschi</t>
  </si>
  <si>
    <t>lulli</t>
  </si>
  <si>
    <t>Krstovic</t>
  </si>
  <si>
    <t>Spence</t>
  </si>
  <si>
    <t>Caprile</t>
  </si>
  <si>
    <t>kolasinac</t>
  </si>
  <si>
    <t>Tavares N</t>
  </si>
  <si>
    <t>Romero D.</t>
  </si>
  <si>
    <t>Dovbyk</t>
  </si>
  <si>
    <t>Santos A.</t>
  </si>
  <si>
    <t>Balerdi</t>
  </si>
  <si>
    <t>celik</t>
  </si>
  <si>
    <t>perri</t>
  </si>
  <si>
    <t>Maldini</t>
  </si>
  <si>
    <t>Gudmundsson</t>
  </si>
  <si>
    <t>Pellegrino M.</t>
  </si>
  <si>
    <t>Beto</t>
  </si>
  <si>
    <t>Kvernadze</t>
  </si>
  <si>
    <t>Cacciamani</t>
  </si>
  <si>
    <t>Valle</t>
  </si>
  <si>
    <t>Stones</t>
  </si>
  <si>
    <t>Dragusin</t>
  </si>
  <si>
    <t>zaniolo</t>
  </si>
  <si>
    <t>vergara</t>
  </si>
  <si>
    <t>kelly</t>
  </si>
  <si>
    <t>Raimondo</t>
  </si>
  <si>
    <t>Goncalves P.</t>
  </si>
  <si>
    <t>tomori</t>
  </si>
  <si>
    <t>ferguson</t>
  </si>
  <si>
    <t>politano</t>
  </si>
  <si>
    <t>jones C</t>
  </si>
  <si>
    <t>Samardzic</t>
  </si>
  <si>
    <t>Vlasic</t>
  </si>
  <si>
    <t>simeone</t>
  </si>
  <si>
    <t>calò</t>
  </si>
  <si>
    <t>Gonzalez N.</t>
  </si>
  <si>
    <t>casadei</t>
  </si>
  <si>
    <t>Beukema</t>
  </si>
  <si>
    <t>pulisic</t>
  </si>
  <si>
    <t>Provstgaard</t>
  </si>
  <si>
    <t>carlos augusto</t>
  </si>
  <si>
    <t>piccoli</t>
  </si>
  <si>
    <t>perrone</t>
  </si>
  <si>
    <t>boga</t>
  </si>
  <si>
    <t>bartesaghi</t>
  </si>
  <si>
    <t>Milinkovic-Savic V.</t>
  </si>
  <si>
    <t>Thorstvedt</t>
  </si>
  <si>
    <t>Holm</t>
  </si>
  <si>
    <t>zorotea</t>
  </si>
  <si>
    <t>Ghedjemis</t>
  </si>
  <si>
    <t>rowe</t>
  </si>
  <si>
    <t>colombo</t>
  </si>
  <si>
    <t>Okoye</t>
  </si>
  <si>
    <t>Varela</t>
  </si>
  <si>
    <t>sportiello</t>
  </si>
  <si>
    <t>Sarr P.</t>
  </si>
  <si>
    <t>Laurientè</t>
  </si>
  <si>
    <t>Romano</t>
  </si>
  <si>
    <t>Muric</t>
  </si>
  <si>
    <t>Schmid</t>
  </si>
  <si>
    <t>Theate</t>
  </si>
  <si>
    <t>lontani</t>
  </si>
  <si>
    <t>gaetano</t>
  </si>
  <si>
    <t>Esposito s.</t>
  </si>
  <si>
    <t>lucca</t>
  </si>
  <si>
    <t>Vitinha O.</t>
  </si>
  <si>
    <t>kamara</t>
  </si>
  <si>
    <t>bonny</t>
  </si>
  <si>
    <t>Tourè E.</t>
  </si>
  <si>
    <t>Chukwueze</t>
  </si>
  <si>
    <t>Camarda</t>
  </si>
  <si>
    <t>Yeboah J.</t>
  </si>
  <si>
    <t>Kevin Carlos</t>
  </si>
  <si>
    <t>Kieron Bowie</t>
  </si>
  <si>
    <t>joao mario</t>
  </si>
  <si>
    <t>veiga</t>
  </si>
  <si>
    <t>lec</t>
  </si>
  <si>
    <t>fio</t>
  </si>
  <si>
    <t>valdepenas</t>
  </si>
  <si>
    <t>pavlovic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</si>
</sst>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[$€-2]\ * #,##0.00_-;\-[$€-2]\ * #,##0.00_-;_-[$€-2]\ * &quot;-&quot;??_-"/>
    <numFmt numFmtId="165" formatCode="#,##0\ [$€-1];[Red]\-#,##0\ [$€-1]"/>
    <numFmt numFmtId="166" formatCode="&quot;€&quot;\ #,##0"/>
    <numFmt numFmtId="167" formatCode="0;[Red]0"/>
  </numFmts>
  <fonts count="119" x14ac:knownFonts="1">
    <font>
      <sz val="10"/>
      <name val="Arial"/>
      <family val="2"/>
    </font>
    <font>
      <b/>
      <u/>
      <sz val="18"/>
      <color indexed="10"/>
      <name val="Arial"/>
      <family val="2"/>
    </font>
    <font>
      <sz val="18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name val="Courier New"/>
      <family val="3"/>
    </font>
    <font>
      <b/>
      <i/>
      <u/>
      <sz val="10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sz val="10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1"/>
      <name val="Arial"/>
      <family val="2"/>
    </font>
    <font>
      <sz val="14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20"/>
      <color indexed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8"/>
      <name val="Arial"/>
      <family val="2"/>
    </font>
    <font>
      <sz val="10"/>
      <name val="Comic Sans MS"/>
      <family val="4"/>
    </font>
    <font>
      <sz val="36"/>
      <name val="Arial"/>
      <family val="2"/>
    </font>
    <font>
      <b/>
      <sz val="16"/>
      <name val="Arial"/>
      <family val="2"/>
    </font>
    <font>
      <i/>
      <sz val="10"/>
      <color indexed="10"/>
      <name val="Arial"/>
      <family val="2"/>
    </font>
    <font>
      <i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i/>
      <u/>
      <sz val="28"/>
      <color indexed="9"/>
      <name val="Arial"/>
      <family val="2"/>
    </font>
    <font>
      <b/>
      <sz val="10"/>
      <name val="Courier"/>
      <family val="2"/>
    </font>
    <font>
      <b/>
      <sz val="9"/>
      <name val="Courier"/>
      <family val="2"/>
    </font>
    <font>
      <i/>
      <sz val="10"/>
      <color indexed="14"/>
      <name val="Arial"/>
      <family val="2"/>
    </font>
    <font>
      <sz val="14"/>
      <color indexed="45"/>
      <name val="Arial"/>
      <family val="2"/>
    </font>
    <font>
      <sz val="10"/>
      <color indexed="14"/>
      <name val="Arial"/>
      <family val="2"/>
    </font>
    <font>
      <b/>
      <sz val="24"/>
      <color indexed="10"/>
      <name val="Arial"/>
      <family val="2"/>
    </font>
    <font>
      <b/>
      <sz val="18"/>
      <name val="Arial"/>
      <family val="2"/>
    </font>
    <font>
      <b/>
      <sz val="12"/>
      <name val="Tahoma"/>
      <family val="2"/>
    </font>
    <font>
      <b/>
      <sz val="14"/>
      <color indexed="16"/>
      <name val="Arial"/>
      <family val="2"/>
    </font>
    <font>
      <b/>
      <i/>
      <sz val="8"/>
      <name val="Arial"/>
      <family val="2"/>
    </font>
    <font>
      <b/>
      <i/>
      <sz val="12"/>
      <name val="Bookman Old Style"/>
      <family val="1"/>
    </font>
    <font>
      <b/>
      <i/>
      <sz val="8"/>
      <name val="Bookman Old Style"/>
      <family val="1"/>
    </font>
    <font>
      <b/>
      <sz val="11"/>
      <color indexed="48"/>
      <name val="Arial"/>
      <family val="2"/>
    </font>
    <font>
      <b/>
      <sz val="14"/>
      <color indexed="48"/>
      <name val="Arial"/>
      <family val="2"/>
    </font>
    <font>
      <sz val="10"/>
      <color indexed="14"/>
      <name val="Comic Sans MS"/>
      <family val="4"/>
    </font>
    <font>
      <b/>
      <sz val="11"/>
      <color indexed="16"/>
      <name val="Arial"/>
      <family val="2"/>
    </font>
    <font>
      <sz val="10"/>
      <color indexed="16"/>
      <name val="Comic Sans MS"/>
      <family val="4"/>
    </font>
    <font>
      <sz val="14"/>
      <color indexed="10"/>
      <name val="Arial"/>
      <family val="2"/>
    </font>
    <font>
      <sz val="14"/>
      <color indexed="12"/>
      <name val="Arial"/>
      <family val="2"/>
    </font>
    <font>
      <sz val="10"/>
      <color indexed="57"/>
      <name val="Arial"/>
      <family val="2"/>
    </font>
    <font>
      <sz val="10"/>
      <color indexed="52"/>
      <name val="Arial"/>
      <family val="2"/>
    </font>
    <font>
      <sz val="14"/>
      <color indexed="17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1"/>
      <color indexed="56"/>
      <name val="Georgia"/>
      <family val="1"/>
    </font>
    <font>
      <b/>
      <i/>
      <sz val="12"/>
      <color indexed="8"/>
      <name val="Bookman Old Style"/>
      <family val="1"/>
    </font>
    <font>
      <b/>
      <i/>
      <sz val="12"/>
      <color indexed="8"/>
      <name val="Arial"/>
      <family val="2"/>
    </font>
    <font>
      <b/>
      <i/>
      <sz val="8"/>
      <color indexed="8"/>
      <name val="Bookman Old Style"/>
      <family val="1"/>
    </font>
    <font>
      <b/>
      <sz val="11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Comic Sans MS"/>
      <family val="4"/>
    </font>
    <font>
      <b/>
      <sz val="11"/>
      <color indexed="10"/>
      <name val="Arial"/>
      <family val="2"/>
    </font>
    <font>
      <b/>
      <sz val="9"/>
      <color indexed="12"/>
      <name val="Arial"/>
      <family val="2"/>
    </font>
    <font>
      <b/>
      <sz val="9"/>
      <color indexed="17"/>
      <name val="Arial"/>
      <family val="2"/>
    </font>
    <font>
      <b/>
      <sz val="9"/>
      <color indexed="10"/>
      <name val="Arial"/>
      <family val="2"/>
    </font>
    <font>
      <u/>
      <sz val="10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b/>
      <sz val="16"/>
      <color indexed="60"/>
      <name val="Kristen ITC"/>
      <family val="4"/>
    </font>
    <font>
      <b/>
      <sz val="11"/>
      <name val="Gulim"/>
      <family val="2"/>
    </font>
    <font>
      <b/>
      <sz val="11"/>
      <color indexed="8"/>
      <name val="Gulim"/>
      <family val="2"/>
    </font>
    <font>
      <b/>
      <sz val="11"/>
      <color indexed="10"/>
      <name val="Gulim"/>
      <family val="2"/>
    </font>
    <font>
      <b/>
      <sz val="11"/>
      <color indexed="53"/>
      <name val="Gulim"/>
      <family val="2"/>
    </font>
    <font>
      <b/>
      <sz val="11"/>
      <color indexed="52"/>
      <name val="Gulim"/>
      <family val="2"/>
    </font>
    <font>
      <b/>
      <sz val="11"/>
      <color indexed="17"/>
      <name val="Gulim"/>
      <family val="2"/>
    </font>
    <font>
      <b/>
      <sz val="11"/>
      <color indexed="18"/>
      <name val="Gulim"/>
      <family val="2"/>
    </font>
    <font>
      <b/>
      <sz val="14"/>
      <name val="Gulim"/>
      <family val="2"/>
    </font>
    <font>
      <b/>
      <sz val="14"/>
      <color indexed="8"/>
      <name val="Gulim"/>
      <family val="2"/>
    </font>
    <font>
      <b/>
      <sz val="14"/>
      <color indexed="10"/>
      <name val="Gulim"/>
      <family val="2"/>
    </font>
    <font>
      <b/>
      <sz val="14"/>
      <color indexed="53"/>
      <name val="Gulim"/>
      <family val="2"/>
    </font>
    <font>
      <b/>
      <sz val="14"/>
      <color indexed="52"/>
      <name val="Gulim"/>
      <family val="2"/>
    </font>
    <font>
      <b/>
      <sz val="14"/>
      <color indexed="17"/>
      <name val="Gulim"/>
      <family val="2"/>
    </font>
    <font>
      <b/>
      <sz val="14"/>
      <color indexed="18"/>
      <name val="Gulim"/>
      <family val="2"/>
    </font>
    <font>
      <b/>
      <sz val="11"/>
      <color indexed="12"/>
      <name val="Gulim"/>
      <family val="2"/>
    </font>
    <font>
      <b/>
      <sz val="11"/>
      <color indexed="48"/>
      <name val="Gulim"/>
      <family val="2"/>
    </font>
    <font>
      <b/>
      <sz val="11"/>
      <color indexed="16"/>
      <name val="Gulim"/>
      <family val="2"/>
    </font>
    <font>
      <b/>
      <sz val="14"/>
      <color indexed="12"/>
      <name val="Gulim"/>
      <family val="2"/>
    </font>
    <font>
      <b/>
      <sz val="14"/>
      <color indexed="48"/>
      <name val="Gulim"/>
      <family val="2"/>
    </font>
    <font>
      <b/>
      <sz val="14"/>
      <color indexed="16"/>
      <name val="Gulim"/>
      <family val="2"/>
    </font>
    <font>
      <sz val="7.5"/>
      <name val="Verdana"/>
      <family val="2"/>
    </font>
    <font>
      <sz val="16"/>
      <name val="Mistral"/>
      <family val="4"/>
    </font>
    <font>
      <b/>
      <sz val="12"/>
      <name val="Jokerman"/>
      <family val="5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4"/>
      <name val="Biome"/>
      <family val="2"/>
    </font>
    <font>
      <strike/>
      <sz val="14"/>
      <name val="Biome"/>
      <family val="2"/>
    </font>
    <font>
      <sz val="10"/>
      <color theme="2" tint="-0.499984740745262"/>
      <name val="Arial"/>
      <family val="2"/>
    </font>
    <font>
      <strike/>
      <sz val="14"/>
      <color theme="2" tint="-0.499984740745262"/>
      <name val="Arial"/>
      <family val="2"/>
    </font>
    <font>
      <sz val="10"/>
      <color theme="0"/>
      <name val="Arial"/>
      <family val="2"/>
    </font>
    <font>
      <sz val="10"/>
      <color theme="7" tint="0.39997558519241921"/>
      <name val="Arial"/>
      <family val="2"/>
    </font>
    <font>
      <b/>
      <sz val="11"/>
      <color theme="7" tint="0.39997558519241921"/>
      <name val="Gulim"/>
      <family val="2"/>
    </font>
    <font>
      <b/>
      <sz val="11"/>
      <color theme="0" tint="-0.34998626667073579"/>
      <name val="Gulim"/>
      <family val="2"/>
    </font>
    <font>
      <b/>
      <sz val="11"/>
      <color theme="1" tint="0.34998626667073579"/>
      <name val="Gulim"/>
      <family val="2"/>
    </font>
    <font>
      <sz val="14"/>
      <color theme="3" tint="-0.249977111117893"/>
      <name val="Arial"/>
      <family val="2"/>
    </font>
    <font>
      <b/>
      <sz val="12"/>
      <color rgb="FFFF0000"/>
      <name val="Arial"/>
      <family val="2"/>
    </font>
    <font>
      <sz val="14"/>
      <color rgb="FFFF0000"/>
      <name val="Biome"/>
      <family val="2"/>
    </font>
    <font>
      <b/>
      <sz val="14"/>
      <color theme="1" tint="0.34998626667073579"/>
      <name val="Gulim"/>
      <family val="2"/>
    </font>
    <font>
      <sz val="14"/>
      <color theme="0"/>
      <name val="Jokerman"/>
      <family val="5"/>
    </font>
    <font>
      <b/>
      <sz val="14"/>
      <color theme="7" tint="0.39997558519241921"/>
      <name val="Gulim"/>
      <family val="2"/>
    </font>
    <font>
      <b/>
      <sz val="14"/>
      <color theme="0" tint="-0.34998626667073579"/>
      <name val="Gulim"/>
      <family val="2"/>
    </font>
    <font>
      <strike/>
      <sz val="14"/>
      <color rgb="FFFF0000"/>
      <name val="Biome"/>
      <family val="2"/>
    </font>
    <font>
      <sz val="14"/>
      <name val="Aptos"/>
      <family val="2"/>
    </font>
    <font>
      <sz val="14"/>
      <color rgb="FFFF0000"/>
      <name val="Aptos"/>
      <family val="2"/>
    </font>
  </fonts>
  <fills count="2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4">
    <xf numFmtId="0" fontId="0" fillId="0" borderId="0"/>
    <xf numFmtId="0" fontId="97" fillId="0" borderId="0" applyNumberFormat="0" applyFill="0" applyBorder="0" applyAlignment="0" applyProtection="0">
      <alignment vertical="top"/>
      <protection locked="0"/>
    </xf>
    <xf numFmtId="0" fontId="99" fillId="0" borderId="0"/>
    <xf numFmtId="9" fontId="98" fillId="0" borderId="0" applyFont="0" applyFill="0" applyBorder="0" applyAlignment="0" applyProtection="0"/>
  </cellStyleXfs>
  <cellXfs count="522">
    <xf numFmtId="0" fontId="0" fillId="0" borderId="0" xfId="0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49" fontId="0" fillId="0" borderId="0" xfId="0" applyNumberFormat="1"/>
    <xf numFmtId="0" fontId="9" fillId="0" borderId="0" xfId="0" applyFont="1"/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vertical="center"/>
    </xf>
    <xf numFmtId="0" fontId="13" fillId="4" borderId="4" xfId="0" applyFont="1" applyFill="1" applyBorder="1" applyAlignment="1">
      <alignment horizontal="center" vertical="center"/>
    </xf>
    <xf numFmtId="1" fontId="0" fillId="5" borderId="5" xfId="0" applyNumberFormat="1" applyFill="1" applyBorder="1"/>
    <xf numFmtId="1" fontId="0" fillId="5" borderId="6" xfId="0" applyNumberFormat="1" applyFill="1" applyBorder="1"/>
    <xf numFmtId="1" fontId="4" fillId="5" borderId="0" xfId="0" applyNumberFormat="1" applyFont="1" applyFill="1"/>
    <xf numFmtId="0" fontId="0" fillId="5" borderId="7" xfId="0" applyFill="1" applyBorder="1" applyAlignment="1">
      <alignment horizontal="center"/>
    </xf>
    <xf numFmtId="0" fontId="10" fillId="11" borderId="8" xfId="0" applyFont="1" applyFill="1" applyBorder="1" applyAlignment="1">
      <alignment horizontal="center" vertical="center"/>
    </xf>
    <xf numFmtId="1" fontId="0" fillId="10" borderId="5" xfId="0" applyNumberFormat="1" applyFill="1" applyBorder="1"/>
    <xf numFmtId="1" fontId="0" fillId="10" borderId="6" xfId="0" applyNumberFormat="1" applyFill="1" applyBorder="1"/>
    <xf numFmtId="1" fontId="4" fillId="10" borderId="0" xfId="0" applyNumberFormat="1" applyFont="1" applyFill="1"/>
    <xf numFmtId="0" fontId="0" fillId="10" borderId="7" xfId="0" applyFill="1" applyBorder="1" applyAlignment="1">
      <alignment horizontal="center"/>
    </xf>
    <xf numFmtId="0" fontId="10" fillId="11" borderId="9" xfId="0" applyFont="1" applyFill="1" applyBorder="1" applyAlignment="1">
      <alignment horizontal="center" vertical="center"/>
    </xf>
    <xf numFmtId="1" fontId="0" fillId="10" borderId="10" xfId="0" applyNumberFormat="1" applyFill="1" applyBorder="1"/>
    <xf numFmtId="1" fontId="0" fillId="10" borderId="11" xfId="0" applyNumberFormat="1" applyFill="1" applyBorder="1"/>
    <xf numFmtId="1" fontId="4" fillId="10" borderId="12" xfId="0" applyNumberFormat="1" applyFont="1" applyFill="1" applyBorder="1"/>
    <xf numFmtId="0" fontId="0" fillId="10" borderId="13" xfId="0" applyFill="1" applyBorder="1" applyAlignment="1">
      <alignment horizontal="center"/>
    </xf>
    <xf numFmtId="0" fontId="0" fillId="4" borderId="14" xfId="0" applyFill="1" applyBorder="1"/>
    <xf numFmtId="1" fontId="0" fillId="4" borderId="15" xfId="0" applyNumberFormat="1" applyFill="1" applyBorder="1"/>
    <xf numFmtId="1" fontId="0" fillId="4" borderId="11" xfId="0" applyNumberFormat="1" applyFill="1" applyBorder="1"/>
    <xf numFmtId="1" fontId="0" fillId="4" borderId="12" xfId="0" applyNumberFormat="1" applyFill="1" applyBorder="1"/>
    <xf numFmtId="164" fontId="0" fillId="4" borderId="13" xfId="0" applyNumberFormat="1" applyFill="1" applyBorder="1" applyAlignment="1">
      <alignment horizontal="center"/>
    </xf>
    <xf numFmtId="165" fontId="0" fillId="21" borderId="14" xfId="0" applyNumberFormat="1" applyFill="1" applyBorder="1" applyAlignment="1" applyProtection="1">
      <alignment horizontal="left"/>
      <protection locked="0"/>
    </xf>
    <xf numFmtId="1" fontId="0" fillId="5" borderId="16" xfId="0" applyNumberFormat="1" applyFill="1" applyBorder="1"/>
    <xf numFmtId="9" fontId="0" fillId="0" borderId="0" xfId="3" applyFont="1"/>
    <xf numFmtId="165" fontId="0" fillId="20" borderId="17" xfId="0" applyNumberFormat="1" applyFill="1" applyBorder="1" applyAlignment="1">
      <alignment horizontal="left"/>
    </xf>
    <xf numFmtId="1" fontId="0" fillId="10" borderId="18" xfId="0" applyNumberFormat="1" applyFill="1" applyBorder="1"/>
    <xf numFmtId="1" fontId="0" fillId="5" borderId="18" xfId="0" applyNumberFormat="1" applyFill="1" applyBorder="1"/>
    <xf numFmtId="0" fontId="12" fillId="4" borderId="4" xfId="0" applyFont="1" applyFill="1" applyBorder="1" applyAlignment="1">
      <alignment horizontal="center" vertical="center"/>
    </xf>
    <xf numFmtId="1" fontId="0" fillId="5" borderId="19" xfId="0" applyNumberFormat="1" applyFill="1" applyBorder="1"/>
    <xf numFmtId="0" fontId="11" fillId="0" borderId="0" xfId="0" applyFont="1"/>
    <xf numFmtId="1" fontId="0" fillId="10" borderId="20" xfId="0" applyNumberFormat="1" applyFill="1" applyBorder="1"/>
    <xf numFmtId="1" fontId="0" fillId="10" borderId="19" xfId="0" applyNumberFormat="1" applyFill="1" applyBorder="1"/>
    <xf numFmtId="0" fontId="0" fillId="4" borderId="21" xfId="0" applyFill="1" applyBorder="1"/>
    <xf numFmtId="1" fontId="0" fillId="10" borderId="15" xfId="0" applyNumberFormat="1" applyFill="1" applyBorder="1"/>
    <xf numFmtId="0" fontId="0" fillId="4" borderId="13" xfId="0" applyFill="1" applyBorder="1" applyAlignment="1">
      <alignment horizontal="center"/>
    </xf>
    <xf numFmtId="165" fontId="0" fillId="0" borderId="0" xfId="0" applyNumberFormat="1" applyAlignment="1">
      <alignment horizontal="left"/>
    </xf>
    <xf numFmtId="0" fontId="10" fillId="11" borderId="2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11" borderId="23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4" borderId="3" xfId="0" applyFont="1" applyFill="1" applyBorder="1" applyAlignment="1">
      <alignment vertical="center"/>
    </xf>
    <xf numFmtId="1" fontId="0" fillId="5" borderId="24" xfId="0" applyNumberFormat="1" applyFill="1" applyBorder="1"/>
    <xf numFmtId="1" fontId="0" fillId="5" borderId="25" xfId="0" applyNumberFormat="1" applyFill="1" applyBorder="1"/>
    <xf numFmtId="1" fontId="16" fillId="5" borderId="26" xfId="0" applyNumberFormat="1" applyFont="1" applyFill="1" applyBorder="1"/>
    <xf numFmtId="0" fontId="17" fillId="5" borderId="27" xfId="0" applyFont="1" applyFill="1" applyBorder="1" applyAlignment="1">
      <alignment horizontal="center"/>
    </xf>
    <xf numFmtId="1" fontId="16" fillId="10" borderId="0" xfId="0" applyNumberFormat="1" applyFont="1" applyFill="1"/>
    <xf numFmtId="0" fontId="17" fillId="10" borderId="7" xfId="0" applyFont="1" applyFill="1" applyBorder="1" applyAlignment="1">
      <alignment horizontal="center"/>
    </xf>
    <xf numFmtId="1" fontId="16" fillId="5" borderId="0" xfId="0" applyNumberFormat="1" applyFont="1" applyFill="1"/>
    <xf numFmtId="0" fontId="17" fillId="5" borderId="7" xfId="0" applyFont="1" applyFill="1" applyBorder="1" applyAlignment="1">
      <alignment horizontal="center"/>
    </xf>
    <xf numFmtId="1" fontId="16" fillId="10" borderId="12" xfId="0" applyNumberFormat="1" applyFont="1" applyFill="1" applyBorder="1"/>
    <xf numFmtId="0" fontId="17" fillId="10" borderId="13" xfId="0" applyFont="1" applyFill="1" applyBorder="1" applyAlignment="1">
      <alignment horizontal="center"/>
    </xf>
    <xf numFmtId="1" fontId="0" fillId="4" borderId="1" xfId="0" applyNumberFormat="1" applyFill="1" applyBorder="1"/>
    <xf numFmtId="1" fontId="0" fillId="3" borderId="11" xfId="0" applyNumberFormat="1" applyFill="1" applyBorder="1"/>
    <xf numFmtId="1" fontId="0" fillId="12" borderId="11" xfId="0" applyNumberFormat="1" applyFill="1" applyBorder="1"/>
    <xf numFmtId="1" fontId="0" fillId="13" borderId="28" xfId="0" applyNumberFormat="1" applyFill="1" applyBorder="1"/>
    <xf numFmtId="1" fontId="0" fillId="13" borderId="4" xfId="0" applyNumberFormat="1" applyFill="1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9" xfId="0" applyBorder="1"/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/>
    <xf numFmtId="0" fontId="0" fillId="0" borderId="32" xfId="0" applyBorder="1"/>
    <xf numFmtId="0" fontId="19" fillId="0" borderId="33" xfId="0" applyFont="1" applyBorder="1" applyAlignment="1">
      <alignment horizontal="center"/>
    </xf>
    <xf numFmtId="0" fontId="0" fillId="0" borderId="29" xfId="0" applyBorder="1" applyAlignment="1">
      <alignment horizontal="right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2" fontId="0" fillId="0" borderId="36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/>
    </xf>
    <xf numFmtId="0" fontId="0" fillId="0" borderId="37" xfId="0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2" fontId="0" fillId="0" borderId="39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/>
    </xf>
    <xf numFmtId="0" fontId="0" fillId="0" borderId="37" xfId="0" applyBorder="1" applyAlignment="1">
      <alignment horizontal="left"/>
    </xf>
    <xf numFmtId="0" fontId="0" fillId="0" borderId="40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2" fontId="0" fillId="0" borderId="42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2" fontId="0" fillId="0" borderId="45" xfId="0" applyNumberFormat="1" applyBorder="1" applyAlignment="1">
      <alignment horizontal="center" vertical="center"/>
    </xf>
    <xf numFmtId="0" fontId="0" fillId="0" borderId="43" xfId="0" applyBorder="1" applyAlignment="1">
      <alignment vertical="center"/>
    </xf>
    <xf numFmtId="2" fontId="0" fillId="0" borderId="45" xfId="0" applyNumberFormat="1" applyBorder="1" applyAlignment="1">
      <alignment horizontal="center"/>
    </xf>
    <xf numFmtId="0" fontId="0" fillId="0" borderId="37" xfId="0" applyBorder="1" applyAlignment="1">
      <alignment vertical="center"/>
    </xf>
    <xf numFmtId="0" fontId="0" fillId="0" borderId="46" xfId="0" applyBorder="1"/>
    <xf numFmtId="0" fontId="0" fillId="0" borderId="46" xfId="0" applyBorder="1" applyAlignment="1">
      <alignment vertical="center"/>
    </xf>
    <xf numFmtId="2" fontId="0" fillId="0" borderId="47" xfId="0" applyNumberForma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21" fillId="0" borderId="48" xfId="0" applyFont="1" applyBorder="1"/>
    <xf numFmtId="2" fontId="0" fillId="0" borderId="0" xfId="0" applyNumberFormat="1"/>
    <xf numFmtId="0" fontId="19" fillId="0" borderId="0" xfId="0" applyFont="1" applyAlignment="1">
      <alignment horizontal="center"/>
    </xf>
    <xf numFmtId="0" fontId="22" fillId="0" borderId="33" xfId="0" applyFont="1" applyBorder="1" applyAlignment="1">
      <alignment horizontal="center"/>
    </xf>
    <xf numFmtId="0" fontId="20" fillId="0" borderId="0" xfId="0" applyFont="1"/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9" fillId="0" borderId="0" xfId="0" applyFont="1"/>
    <xf numFmtId="0" fontId="24" fillId="0" borderId="0" xfId="0" applyFont="1"/>
    <xf numFmtId="0" fontId="25" fillId="0" borderId="0" xfId="0" applyFont="1" applyAlignment="1">
      <alignment horizontal="center" vertical="center"/>
    </xf>
    <xf numFmtId="49" fontId="20" fillId="4" borderId="1" xfId="0" applyNumberFormat="1" applyFont="1" applyFill="1" applyBorder="1" applyAlignment="1">
      <alignment horizontal="center" vertical="center"/>
    </xf>
    <xf numFmtId="49" fontId="20" fillId="4" borderId="49" xfId="0" applyNumberFormat="1" applyFont="1" applyFill="1" applyBorder="1" applyAlignment="1">
      <alignment horizontal="center" vertical="center"/>
    </xf>
    <xf numFmtId="0" fontId="19" fillId="5" borderId="14" xfId="0" applyFont="1" applyFill="1" applyBorder="1" applyAlignment="1">
      <alignment horizontal="center"/>
    </xf>
    <xf numFmtId="0" fontId="19" fillId="5" borderId="4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52" xfId="0" applyBorder="1" applyAlignment="1">
      <alignment horizontal="center"/>
    </xf>
    <xf numFmtId="0" fontId="15" fillId="8" borderId="26" xfId="0" applyFont="1" applyFill="1" applyBorder="1"/>
    <xf numFmtId="165" fontId="15" fillId="8" borderId="27" xfId="0" applyNumberFormat="1" applyFont="1" applyFill="1" applyBorder="1" applyAlignment="1">
      <alignment horizontal="left"/>
    </xf>
    <xf numFmtId="0" fontId="0" fillId="0" borderId="53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54" xfId="0" applyBorder="1" applyAlignment="1">
      <alignment horizontal="center"/>
    </xf>
    <xf numFmtId="0" fontId="15" fillId="8" borderId="55" xfId="0" applyFont="1" applyFill="1" applyBorder="1"/>
    <xf numFmtId="0" fontId="15" fillId="8" borderId="7" xfId="0" applyFont="1" applyFill="1" applyBorder="1" applyAlignment="1">
      <alignment horizontal="left"/>
    </xf>
    <xf numFmtId="0" fontId="15" fillId="8" borderId="21" xfId="0" applyFont="1" applyFill="1" applyBorder="1"/>
    <xf numFmtId="0" fontId="15" fillId="8" borderId="13" xfId="0" applyFont="1" applyFill="1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7" xfId="0" applyBorder="1"/>
    <xf numFmtId="0" fontId="0" fillId="0" borderId="18" xfId="0" applyBorder="1"/>
    <xf numFmtId="0" fontId="4" fillId="0" borderId="5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4" xfId="0" applyBorder="1"/>
    <xf numFmtId="1" fontId="0" fillId="0" borderId="50" xfId="0" applyNumberFormat="1" applyBorder="1" applyAlignment="1">
      <alignment vertical="center"/>
    </xf>
    <xf numFmtId="0" fontId="0" fillId="0" borderId="51" xfId="0" applyBorder="1" applyAlignment="1">
      <alignment horizontal="center"/>
    </xf>
    <xf numFmtId="1" fontId="0" fillId="0" borderId="53" xfId="0" applyNumberForma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6" xfId="0" applyBorder="1"/>
    <xf numFmtId="1" fontId="0" fillId="0" borderId="56" xfId="0" applyNumberFormat="1" applyBorder="1" applyAlignment="1">
      <alignment vertical="center"/>
    </xf>
    <xf numFmtId="0" fontId="0" fillId="0" borderId="57" xfId="0" applyBorder="1" applyAlignment="1">
      <alignment horizontal="center"/>
    </xf>
    <xf numFmtId="0" fontId="0" fillId="0" borderId="26" xfId="0" applyBorder="1" applyAlignment="1">
      <alignment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0" fontId="4" fillId="14" borderId="14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4" fillId="0" borderId="28" xfId="0" applyFont="1" applyBorder="1" applyAlignment="1">
      <alignment horizontal="center" vertical="center"/>
    </xf>
    <xf numFmtId="1" fontId="0" fillId="0" borderId="60" xfId="0" applyNumberFormat="1" applyBorder="1"/>
    <xf numFmtId="0" fontId="0" fillId="0" borderId="61" xfId="0" applyBorder="1" applyAlignment="1">
      <alignment horizontal="center"/>
    </xf>
    <xf numFmtId="1" fontId="0" fillId="0" borderId="62" xfId="0" applyNumberFormat="1" applyBorder="1"/>
    <xf numFmtId="0" fontId="0" fillId="0" borderId="63" xfId="0" applyBorder="1" applyAlignment="1">
      <alignment horizontal="center"/>
    </xf>
    <xf numFmtId="1" fontId="0" fillId="0" borderId="64" xfId="0" applyNumberFormat="1" applyBorder="1"/>
    <xf numFmtId="0" fontId="30" fillId="0" borderId="0" xfId="0" applyFont="1" applyAlignment="1">
      <alignment horizontal="center"/>
    </xf>
    <xf numFmtId="0" fontId="31" fillId="0" borderId="0" xfId="0" applyFont="1"/>
    <xf numFmtId="0" fontId="30" fillId="0" borderId="0" xfId="0" applyFont="1"/>
    <xf numFmtId="0" fontId="32" fillId="0" borderId="0" xfId="0" applyFont="1" applyAlignment="1">
      <alignment horizontal="center"/>
    </xf>
    <xf numFmtId="0" fontId="32" fillId="0" borderId="0" xfId="0" applyFont="1"/>
    <xf numFmtId="1" fontId="30" fillId="0" borderId="0" xfId="0" applyNumberFormat="1" applyFont="1"/>
    <xf numFmtId="0" fontId="0" fillId="0" borderId="3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0" fillId="0" borderId="16" xfId="0" applyBorder="1" applyAlignment="1">
      <alignment vertical="center"/>
    </xf>
    <xf numFmtId="0" fontId="34" fillId="0" borderId="17" xfId="0" applyFont="1" applyBorder="1" applyAlignment="1">
      <alignment horizontal="center"/>
    </xf>
    <xf numFmtId="0" fontId="34" fillId="0" borderId="57" xfId="0" applyFont="1" applyBorder="1" applyAlignment="1">
      <alignment horizontal="center"/>
    </xf>
    <xf numFmtId="0" fontId="0" fillId="0" borderId="1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4" fillId="0" borderId="66" xfId="0" applyFont="1" applyBorder="1" applyAlignment="1">
      <alignment horizontal="center"/>
    </xf>
    <xf numFmtId="0" fontId="0" fillId="0" borderId="67" xfId="0" applyBorder="1" applyAlignment="1">
      <alignment horizontal="center"/>
    </xf>
    <xf numFmtId="0" fontId="34" fillId="0" borderId="68" xfId="0" applyFont="1" applyBorder="1" applyAlignment="1">
      <alignment horizontal="center"/>
    </xf>
    <xf numFmtId="0" fontId="34" fillId="0" borderId="69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0" fillId="0" borderId="65" xfId="0" applyBorder="1" applyAlignment="1">
      <alignment horizontal="center" vertical="center"/>
    </xf>
    <xf numFmtId="0" fontId="4" fillId="0" borderId="65" xfId="0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" fillId="5" borderId="14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1" fontId="0" fillId="0" borderId="0" xfId="0" applyNumberFormat="1"/>
    <xf numFmtId="0" fontId="13" fillId="0" borderId="0" xfId="0" applyFont="1"/>
    <xf numFmtId="0" fontId="36" fillId="0" borderId="0" xfId="0" applyFont="1"/>
    <xf numFmtId="0" fontId="37" fillId="0" borderId="0" xfId="0" applyFont="1"/>
    <xf numFmtId="0" fontId="4" fillId="8" borderId="14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 applyAlignment="1">
      <alignment vertical="center"/>
    </xf>
    <xf numFmtId="0" fontId="39" fillId="0" borderId="0" xfId="0" applyFont="1"/>
    <xf numFmtId="0" fontId="40" fillId="0" borderId="0" xfId="0" applyFont="1"/>
    <xf numFmtId="0" fontId="41" fillId="0" borderId="70" xfId="0" applyFont="1" applyBorder="1" applyAlignment="1">
      <alignment horizontal="center" vertical="center"/>
    </xf>
    <xf numFmtId="0" fontId="42" fillId="0" borderId="71" xfId="0" applyFont="1" applyBorder="1" applyAlignment="1">
      <alignment horizontal="center" vertical="center"/>
    </xf>
    <xf numFmtId="0" fontId="31" fillId="8" borderId="72" xfId="0" applyFont="1" applyFill="1" applyBorder="1" applyAlignment="1">
      <alignment horizontal="center" vertical="center"/>
    </xf>
    <xf numFmtId="0" fontId="42" fillId="0" borderId="73" xfId="0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/>
    </xf>
    <xf numFmtId="0" fontId="31" fillId="8" borderId="21" xfId="0" applyFont="1" applyFill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0" fillId="8" borderId="76" xfId="0" applyFill="1" applyBorder="1" applyAlignment="1">
      <alignment horizontal="center" vertical="center"/>
    </xf>
    <xf numFmtId="0" fontId="31" fillId="0" borderId="77" xfId="0" applyFont="1" applyBorder="1" applyAlignment="1">
      <alignment horizontal="center" vertical="center"/>
    </xf>
    <xf numFmtId="0" fontId="25" fillId="8" borderId="78" xfId="0" applyFont="1" applyFill="1" applyBorder="1" applyAlignment="1">
      <alignment horizontal="center" vertical="center"/>
    </xf>
    <xf numFmtId="0" fontId="44" fillId="0" borderId="70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44" fillId="0" borderId="79" xfId="0" applyFont="1" applyBorder="1" applyAlignment="1">
      <alignment horizontal="center" vertical="center"/>
    </xf>
    <xf numFmtId="0" fontId="0" fillId="0" borderId="80" xfId="0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47" fillId="0" borderId="82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2" fillId="0" borderId="82" xfId="0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9" borderId="14" xfId="0" applyFont="1" applyFill="1" applyBorder="1" applyAlignment="1">
      <alignment vertical="center"/>
    </xf>
    <xf numFmtId="0" fontId="5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02" fillId="22" borderId="20" xfId="0" applyFont="1" applyFill="1" applyBorder="1" applyAlignment="1">
      <alignment vertical="center"/>
    </xf>
    <xf numFmtId="0" fontId="103" fillId="0" borderId="0" xfId="0" applyFont="1" applyAlignment="1">
      <alignment vertical="center"/>
    </xf>
    <xf numFmtId="0" fontId="53" fillId="0" borderId="0" xfId="0" applyFont="1" applyAlignment="1">
      <alignment vertical="center"/>
    </xf>
    <xf numFmtId="0" fontId="54" fillId="16" borderId="18" xfId="0" applyFont="1" applyFill="1" applyBorder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0" fillId="0" borderId="26" xfId="0" applyBorder="1"/>
    <xf numFmtId="0" fontId="57" fillId="0" borderId="0" xfId="0" applyFont="1" applyAlignment="1">
      <alignment vertical="center"/>
    </xf>
    <xf numFmtId="0" fontId="0" fillId="0" borderId="31" xfId="0" applyBorder="1" applyAlignment="1">
      <alignment vertical="center"/>
    </xf>
    <xf numFmtId="0" fontId="58" fillId="0" borderId="0" xfId="0" applyFont="1" applyAlignment="1">
      <alignment vertical="center"/>
    </xf>
    <xf numFmtId="0" fontId="59" fillId="0" borderId="0" xfId="0" applyFont="1"/>
    <xf numFmtId="0" fontId="0" fillId="0" borderId="79" xfId="0" applyBorder="1"/>
    <xf numFmtId="0" fontId="31" fillId="8" borderId="55" xfId="0" applyFont="1" applyFill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1" fillId="0" borderId="79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79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62" fillId="0" borderId="0" xfId="0" applyFont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64" fillId="0" borderId="81" xfId="0" applyFont="1" applyBorder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39" fillId="9" borderId="14" xfId="0" applyFont="1" applyFill="1" applyBorder="1" applyAlignment="1">
      <alignment vertical="center"/>
    </xf>
    <xf numFmtId="0" fontId="31" fillId="8" borderId="83" xfId="0" applyFont="1" applyFill="1" applyBorder="1" applyAlignment="1">
      <alignment horizontal="center" vertical="center"/>
    </xf>
    <xf numFmtId="0" fontId="57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0" fillId="17" borderId="0" xfId="0" applyFill="1" applyProtection="1">
      <protection hidden="1"/>
    </xf>
    <xf numFmtId="0" fontId="0" fillId="17" borderId="0" xfId="0" applyFill="1" applyAlignment="1" applyProtection="1">
      <alignment horizontal="center" vertical="center" shrinkToFit="1"/>
      <protection hidden="1"/>
    </xf>
    <xf numFmtId="0" fontId="0" fillId="17" borderId="0" xfId="0" applyFill="1" applyAlignment="1" applyProtection="1">
      <alignment horizontal="left" vertical="center"/>
      <protection hidden="1"/>
    </xf>
    <xf numFmtId="0" fontId="0" fillId="17" borderId="0" xfId="0" applyFill="1" applyAlignment="1" applyProtection="1">
      <alignment vertical="center"/>
      <protection hidden="1"/>
    </xf>
    <xf numFmtId="0" fontId="0" fillId="6" borderId="84" xfId="0" applyFill="1" applyBorder="1" applyAlignment="1" applyProtection="1">
      <alignment horizontal="center" vertical="center" shrinkToFit="1"/>
      <protection hidden="1"/>
    </xf>
    <xf numFmtId="0" fontId="0" fillId="6" borderId="6" xfId="0" applyFill="1" applyBorder="1" applyAlignment="1" applyProtection="1">
      <alignment horizontal="center" vertical="center" shrinkToFit="1"/>
      <protection hidden="1"/>
    </xf>
    <xf numFmtId="1" fontId="24" fillId="6" borderId="0" xfId="0" applyNumberFormat="1" applyFont="1" applyFill="1" applyAlignment="1" applyProtection="1">
      <alignment horizontal="left" vertical="center"/>
      <protection hidden="1"/>
    </xf>
    <xf numFmtId="1" fontId="0" fillId="6" borderId="0" xfId="0" applyNumberFormat="1" applyFill="1" applyAlignment="1" applyProtection="1">
      <alignment vertical="center"/>
      <protection hidden="1"/>
    </xf>
    <xf numFmtId="1" fontId="0" fillId="0" borderId="0" xfId="0" applyNumberFormat="1" applyAlignment="1" applyProtection="1">
      <alignment vertical="center"/>
      <protection hidden="1"/>
    </xf>
    <xf numFmtId="0" fontId="0" fillId="0" borderId="84" xfId="0" applyBorder="1" applyAlignment="1" applyProtection="1">
      <alignment horizontal="center" vertical="center" shrinkToFit="1"/>
      <protection hidden="1"/>
    </xf>
    <xf numFmtId="0" fontId="0" fillId="0" borderId="6" xfId="0" applyBorder="1" applyAlignment="1" applyProtection="1">
      <alignment horizontal="center" vertical="center" shrinkToFit="1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6" borderId="0" xfId="0" applyFont="1" applyFill="1" applyAlignment="1" applyProtection="1">
      <alignment horizontal="left" vertical="center"/>
      <protection hidden="1"/>
    </xf>
    <xf numFmtId="0" fontId="0" fillId="0" borderId="85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horizontal="center" vertical="center" shrinkToFit="1"/>
      <protection hidden="1"/>
    </xf>
    <xf numFmtId="0" fontId="24" fillId="0" borderId="85" xfId="0" applyFont="1" applyBorder="1" applyAlignment="1" applyProtection="1">
      <alignment horizontal="left" vertical="center"/>
      <protection hidden="1"/>
    </xf>
    <xf numFmtId="1" fontId="0" fillId="6" borderId="86" xfId="0" applyNumberFormat="1" applyFill="1" applyBorder="1" applyAlignment="1" applyProtection="1">
      <alignment vertical="center"/>
      <protection hidden="1"/>
    </xf>
    <xf numFmtId="1" fontId="0" fillId="0" borderId="86" xfId="0" applyNumberFormat="1" applyBorder="1" applyAlignment="1" applyProtection="1">
      <alignment vertical="center"/>
      <protection hidden="1"/>
    </xf>
    <xf numFmtId="1" fontId="0" fillId="17" borderId="0" xfId="0" applyNumberFormat="1" applyFill="1" applyProtection="1">
      <protection hidden="1"/>
    </xf>
    <xf numFmtId="0" fontId="24" fillId="0" borderId="86" xfId="0" applyFont="1" applyBorder="1" applyAlignment="1" applyProtection="1">
      <alignment horizontal="left" vertical="center"/>
      <protection hidden="1"/>
    </xf>
    <xf numFmtId="0" fontId="0" fillId="17" borderId="85" xfId="0" applyFill="1" applyBorder="1" applyAlignment="1" applyProtection="1">
      <alignment horizontal="center" vertical="center" shrinkToFit="1"/>
      <protection hidden="1"/>
    </xf>
    <xf numFmtId="0" fontId="0" fillId="17" borderId="51" xfId="0" applyFill="1" applyBorder="1" applyAlignment="1" applyProtection="1">
      <alignment horizontal="center" vertical="center" shrinkToFit="1"/>
      <protection hidden="1"/>
    </xf>
    <xf numFmtId="0" fontId="24" fillId="17" borderId="86" xfId="0" applyFont="1" applyFill="1" applyBorder="1" applyAlignment="1" applyProtection="1">
      <alignment horizontal="left" vertical="center"/>
      <protection hidden="1"/>
    </xf>
    <xf numFmtId="0" fontId="0" fillId="17" borderId="84" xfId="0" applyFill="1" applyBorder="1" applyAlignment="1" applyProtection="1">
      <alignment horizontal="center" vertical="center" shrinkToFit="1"/>
      <protection hidden="1"/>
    </xf>
    <xf numFmtId="0" fontId="0" fillId="17" borderId="6" xfId="0" applyFill="1" applyBorder="1" applyAlignment="1" applyProtection="1">
      <alignment horizontal="center" vertical="center" shrinkToFit="1"/>
      <protection hidden="1"/>
    </xf>
    <xf numFmtId="0" fontId="24" fillId="17" borderId="0" xfId="0" applyFont="1" applyFill="1" applyAlignment="1" applyProtection="1">
      <alignment horizontal="left" vertical="center"/>
      <protection hidden="1"/>
    </xf>
    <xf numFmtId="0" fontId="71" fillId="18" borderId="37" xfId="0" applyFont="1" applyFill="1" applyBorder="1" applyAlignment="1" applyProtection="1">
      <alignment horizontal="center" vertical="center"/>
      <protection hidden="1"/>
    </xf>
    <xf numFmtId="0" fontId="0" fillId="6" borderId="0" xfId="0" applyFill="1" applyAlignment="1" applyProtection="1">
      <alignment vertical="center"/>
      <protection hidden="1"/>
    </xf>
    <xf numFmtId="0" fontId="0" fillId="6" borderId="86" xfId="0" applyFill="1" applyBorder="1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72" fillId="18" borderId="37" xfId="0" applyFont="1" applyFill="1" applyBorder="1" applyAlignment="1" applyProtection="1">
      <alignment horizontal="center" vertical="center"/>
      <protection hidden="1"/>
    </xf>
    <xf numFmtId="0" fontId="0" fillId="6" borderId="63" xfId="0" applyFill="1" applyBorder="1" applyAlignment="1" applyProtection="1">
      <alignment horizontal="center" vertical="center" shrinkToFit="1"/>
      <protection hidden="1"/>
    </xf>
    <xf numFmtId="0" fontId="104" fillId="17" borderId="0" xfId="0" applyFont="1" applyFill="1" applyAlignment="1" applyProtection="1">
      <alignment horizontal="center"/>
      <protection hidden="1"/>
    </xf>
    <xf numFmtId="0" fontId="105" fillId="17" borderId="0" xfId="0" applyFont="1" applyFill="1" applyProtection="1">
      <protection hidden="1"/>
    </xf>
    <xf numFmtId="0" fontId="94" fillId="17" borderId="0" xfId="0" applyFont="1" applyFill="1" applyAlignment="1" applyProtection="1">
      <alignment horizontal="left" wrapText="1"/>
      <protection hidden="1"/>
    </xf>
    <xf numFmtId="20" fontId="94" fillId="17" borderId="0" xfId="0" applyNumberFormat="1" applyFont="1" applyFill="1" applyAlignment="1" applyProtection="1">
      <alignment horizontal="left" wrapText="1"/>
      <protection hidden="1"/>
    </xf>
    <xf numFmtId="0" fontId="70" fillId="17" borderId="0" xfId="1" applyFont="1" applyFill="1" applyAlignment="1" applyProtection="1">
      <alignment horizontal="left"/>
      <protection hidden="1"/>
    </xf>
    <xf numFmtId="0" fontId="94" fillId="17" borderId="0" xfId="0" applyFont="1" applyFill="1" applyAlignment="1" applyProtection="1">
      <alignment horizontal="center" wrapText="1"/>
      <protection hidden="1"/>
    </xf>
    <xf numFmtId="0" fontId="0" fillId="0" borderId="53" xfId="0" applyBorder="1" applyAlignment="1">
      <alignment vertical="center"/>
    </xf>
    <xf numFmtId="0" fontId="66" fillId="0" borderId="3" xfId="0" applyFont="1" applyBorder="1"/>
    <xf numFmtId="0" fontId="63" fillId="0" borderId="29" xfId="0" applyFont="1" applyBorder="1" applyAlignment="1">
      <alignment horizontal="left" vertical="center"/>
    </xf>
    <xf numFmtId="0" fontId="49" fillId="0" borderId="29" xfId="0" applyFont="1" applyBorder="1" applyAlignment="1">
      <alignment horizontal="left" vertical="center"/>
    </xf>
    <xf numFmtId="0" fontId="15" fillId="0" borderId="29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8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0" fillId="8" borderId="88" xfId="0" applyFill="1" applyBorder="1" applyAlignment="1">
      <alignment horizontal="center" vertical="center"/>
    </xf>
    <xf numFmtId="0" fontId="25" fillId="8" borderId="88" xfId="0" applyFont="1" applyFill="1" applyBorder="1" applyAlignment="1">
      <alignment horizontal="center" vertical="center"/>
    </xf>
    <xf numFmtId="1" fontId="74" fillId="0" borderId="51" xfId="0" applyNumberFormat="1" applyFont="1" applyBorder="1" applyAlignment="1" applyProtection="1">
      <alignment horizontal="center" vertical="center"/>
      <protection hidden="1"/>
    </xf>
    <xf numFmtId="1" fontId="75" fillId="0" borderId="51" xfId="0" applyNumberFormat="1" applyFont="1" applyBorder="1" applyAlignment="1" applyProtection="1">
      <alignment horizontal="center" vertical="center"/>
      <protection hidden="1"/>
    </xf>
    <xf numFmtId="1" fontId="76" fillId="0" borderId="51" xfId="0" applyNumberFormat="1" applyFont="1" applyBorder="1" applyAlignment="1" applyProtection="1">
      <alignment horizontal="center" vertical="center"/>
      <protection hidden="1"/>
    </xf>
    <xf numFmtId="1" fontId="77" fillId="0" borderId="51" xfId="0" applyNumberFormat="1" applyFont="1" applyBorder="1" applyAlignment="1" applyProtection="1">
      <alignment horizontal="center" vertical="center"/>
      <protection hidden="1"/>
    </xf>
    <xf numFmtId="1" fontId="78" fillId="0" borderId="51" xfId="0" applyNumberFormat="1" applyFont="1" applyBorder="1" applyAlignment="1" applyProtection="1">
      <alignment horizontal="center" vertical="center"/>
      <protection hidden="1"/>
    </xf>
    <xf numFmtId="1" fontId="79" fillId="0" borderId="51" xfId="0" applyNumberFormat="1" applyFont="1" applyBorder="1" applyAlignment="1" applyProtection="1">
      <alignment horizontal="center" vertical="center"/>
      <protection hidden="1"/>
    </xf>
    <xf numFmtId="0" fontId="80" fillId="0" borderId="51" xfId="0" applyFont="1" applyBorder="1" applyAlignment="1" applyProtection="1">
      <alignment horizontal="center" vertical="center"/>
      <protection hidden="1"/>
    </xf>
    <xf numFmtId="1" fontId="88" fillId="0" borderId="51" xfId="0" applyNumberFormat="1" applyFont="1" applyBorder="1" applyAlignment="1" applyProtection="1">
      <alignment horizontal="center" vertical="center"/>
      <protection hidden="1"/>
    </xf>
    <xf numFmtId="1" fontId="89" fillId="0" borderId="51" xfId="0" applyNumberFormat="1" applyFont="1" applyBorder="1" applyAlignment="1" applyProtection="1">
      <alignment horizontal="center" vertical="center"/>
      <protection hidden="1"/>
    </xf>
    <xf numFmtId="1" fontId="90" fillId="0" borderId="51" xfId="0" applyNumberFormat="1" applyFont="1" applyBorder="1" applyAlignment="1" applyProtection="1">
      <alignment horizontal="center" vertical="center"/>
      <protection hidden="1"/>
    </xf>
    <xf numFmtId="1" fontId="106" fillId="0" borderId="51" xfId="0" applyNumberFormat="1" applyFont="1" applyBorder="1" applyAlignment="1" applyProtection="1">
      <alignment horizontal="center" vertical="center"/>
      <protection hidden="1"/>
    </xf>
    <xf numFmtId="1" fontId="107" fillId="0" borderId="51" xfId="0" applyNumberFormat="1" applyFont="1" applyBorder="1" applyAlignment="1" applyProtection="1">
      <alignment horizontal="center" vertical="center"/>
      <protection hidden="1"/>
    </xf>
    <xf numFmtId="1" fontId="108" fillId="0" borderId="51" xfId="0" applyNumberFormat="1" applyFont="1" applyBorder="1" applyAlignment="1" applyProtection="1">
      <alignment horizontal="center" vertical="center"/>
      <protection hidden="1"/>
    </xf>
    <xf numFmtId="0" fontId="25" fillId="0" borderId="89" xfId="0" applyFont="1" applyBorder="1" applyAlignment="1">
      <alignment horizontal="center" vertical="center"/>
    </xf>
    <xf numFmtId="0" fontId="15" fillId="8" borderId="90" xfId="0" applyFont="1" applyFill="1" applyBorder="1"/>
    <xf numFmtId="165" fontId="15" fillId="8" borderId="7" xfId="0" applyNumberFormat="1" applyFont="1" applyFill="1" applyBorder="1" applyAlignment="1">
      <alignment horizontal="left"/>
    </xf>
    <xf numFmtId="0" fontId="0" fillId="24" borderId="14" xfId="0" applyFill="1" applyBorder="1" applyAlignment="1">
      <alignment vertical="center"/>
    </xf>
    <xf numFmtId="0" fontId="109" fillId="0" borderId="0" xfId="0" applyFont="1" applyAlignment="1">
      <alignment vertical="center"/>
    </xf>
    <xf numFmtId="0" fontId="66" fillId="0" borderId="65" xfId="0" applyFont="1" applyBorder="1"/>
    <xf numFmtId="0" fontId="110" fillId="0" borderId="91" xfId="0" applyFont="1" applyBorder="1" applyAlignment="1">
      <alignment horizontal="left" vertical="center"/>
    </xf>
    <xf numFmtId="0" fontId="110" fillId="0" borderId="92" xfId="0" applyFont="1" applyBorder="1" applyAlignment="1">
      <alignment horizontal="left" vertical="center"/>
    </xf>
    <xf numFmtId="0" fontId="110" fillId="0" borderId="93" xfId="0" applyFont="1" applyBorder="1" applyAlignment="1">
      <alignment horizontal="center" vertical="center"/>
    </xf>
    <xf numFmtId="0" fontId="110" fillId="0" borderId="40" xfId="0" applyFont="1" applyBorder="1" applyAlignment="1">
      <alignment horizontal="left" vertical="center"/>
    </xf>
    <xf numFmtId="0" fontId="60" fillId="0" borderId="94" xfId="0" applyFont="1" applyBorder="1" applyAlignment="1">
      <alignment horizontal="center" vertical="center"/>
    </xf>
    <xf numFmtId="0" fontId="17" fillId="0" borderId="79" xfId="0" applyFont="1" applyBorder="1" applyAlignment="1">
      <alignment vertical="center"/>
    </xf>
    <xf numFmtId="0" fontId="0" fillId="8" borderId="9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31" fillId="0" borderId="96" xfId="0" applyFont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25" fillId="8" borderId="26" xfId="0" applyFont="1" applyFill="1" applyBorder="1" applyAlignment="1">
      <alignment horizontal="center" vertical="center"/>
    </xf>
    <xf numFmtId="49" fontId="100" fillId="0" borderId="97" xfId="0" applyNumberFormat="1" applyFont="1" applyBorder="1" applyAlignment="1">
      <alignment horizontal="left" vertical="center"/>
    </xf>
    <xf numFmtId="49" fontId="100" fillId="0" borderId="51" xfId="0" applyNumberFormat="1" applyFont="1" applyBorder="1" applyAlignment="1">
      <alignment horizontal="left" vertical="center"/>
    </xf>
    <xf numFmtId="49" fontId="100" fillId="0" borderId="98" xfId="0" applyNumberFormat="1" applyFont="1" applyBorder="1" applyAlignment="1">
      <alignment horizontal="center" vertical="center"/>
    </xf>
    <xf numFmtId="49" fontId="100" fillId="0" borderId="99" xfId="0" applyNumberFormat="1" applyFont="1" applyBorder="1" applyAlignment="1">
      <alignment horizontal="center" vertical="center"/>
    </xf>
    <xf numFmtId="49" fontId="100" fillId="0" borderId="100" xfId="0" applyNumberFormat="1" applyFont="1" applyBorder="1" applyAlignment="1">
      <alignment horizontal="left" vertical="center"/>
    </xf>
    <xf numFmtId="49" fontId="100" fillId="0" borderId="86" xfId="0" applyNumberFormat="1" applyFont="1" applyBorder="1" applyAlignment="1">
      <alignment horizontal="left" vertical="center"/>
    </xf>
    <xf numFmtId="49" fontId="100" fillId="0" borderId="101" xfId="0" applyNumberFormat="1" applyFont="1" applyBorder="1" applyAlignment="1">
      <alignment horizontal="left" vertical="center"/>
    </xf>
    <xf numFmtId="49" fontId="100" fillId="0" borderId="102" xfId="0" applyNumberFormat="1" applyFont="1" applyBorder="1" applyAlignment="1">
      <alignment horizontal="center" vertical="center"/>
    </xf>
    <xf numFmtId="49" fontId="100" fillId="0" borderId="103" xfId="0" applyNumberFormat="1" applyFont="1" applyBorder="1" applyAlignment="1">
      <alignment horizontal="center" vertical="center"/>
    </xf>
    <xf numFmtId="49" fontId="100" fillId="0" borderId="104" xfId="0" applyNumberFormat="1" applyFont="1" applyBorder="1" applyAlignment="1">
      <alignment horizontal="left" vertical="center"/>
    </xf>
    <xf numFmtId="49" fontId="100" fillId="0" borderId="105" xfId="0" applyNumberFormat="1" applyFont="1" applyBorder="1" applyAlignment="1">
      <alignment horizontal="center" vertical="center"/>
    </xf>
    <xf numFmtId="49" fontId="100" fillId="0" borderId="40" xfId="0" applyNumberFormat="1" applyFont="1" applyBorder="1" applyAlignment="1">
      <alignment horizontal="left" vertical="center"/>
    </xf>
    <xf numFmtId="49" fontId="100" fillId="0" borderId="63" xfId="0" applyNumberFormat="1" applyFont="1" applyBorder="1" applyAlignment="1">
      <alignment horizontal="left" vertical="center"/>
    </xf>
    <xf numFmtId="49" fontId="100" fillId="0" borderId="106" xfId="0" applyNumberFormat="1" applyFont="1" applyBorder="1" applyAlignment="1">
      <alignment horizontal="left" vertical="center"/>
    </xf>
    <xf numFmtId="49" fontId="100" fillId="0" borderId="107" xfId="0" applyNumberFormat="1" applyFont="1" applyBorder="1" applyAlignment="1">
      <alignment horizontal="center" vertical="center"/>
    </xf>
    <xf numFmtId="49" fontId="100" fillId="0" borderId="108" xfId="0" applyNumberFormat="1" applyFont="1" applyBorder="1" applyAlignment="1">
      <alignment horizontal="left" vertical="center"/>
    </xf>
    <xf numFmtId="49" fontId="100" fillId="0" borderId="109" xfId="0" applyNumberFormat="1" applyFont="1" applyBorder="1" applyAlignment="1">
      <alignment horizontal="left" vertical="center"/>
    </xf>
    <xf numFmtId="49" fontId="100" fillId="0" borderId="69" xfId="0" applyNumberFormat="1" applyFont="1" applyBorder="1" applyAlignment="1">
      <alignment horizontal="left" vertical="center"/>
    </xf>
    <xf numFmtId="49" fontId="100" fillId="0" borderId="110" xfId="0" applyNumberFormat="1" applyFont="1" applyBorder="1" applyAlignment="1">
      <alignment horizontal="left" vertical="center"/>
    </xf>
    <xf numFmtId="49" fontId="100" fillId="0" borderId="57" xfId="0" applyNumberFormat="1" applyFont="1" applyBorder="1" applyAlignment="1">
      <alignment horizontal="left" vertical="center"/>
    </xf>
    <xf numFmtId="49" fontId="111" fillId="0" borderId="101" xfId="0" applyNumberFormat="1" applyFont="1" applyBorder="1" applyAlignment="1">
      <alignment horizontal="left" vertical="center"/>
    </xf>
    <xf numFmtId="49" fontId="111" fillId="0" borderId="51" xfId="0" applyNumberFormat="1" applyFont="1" applyBorder="1" applyAlignment="1">
      <alignment horizontal="left" vertical="center"/>
    </xf>
    <xf numFmtId="49" fontId="111" fillId="0" borderId="103" xfId="0" applyNumberFormat="1" applyFont="1" applyBorder="1" applyAlignment="1">
      <alignment horizontal="center" vertical="center"/>
    </xf>
    <xf numFmtId="49" fontId="111" fillId="0" borderId="104" xfId="0" applyNumberFormat="1" applyFont="1" applyBorder="1" applyAlignment="1">
      <alignment horizontal="left" vertical="center"/>
    </xf>
    <xf numFmtId="49" fontId="111" fillId="0" borderId="86" xfId="0" applyNumberFormat="1" applyFont="1" applyBorder="1" applyAlignment="1">
      <alignment horizontal="left" vertical="center"/>
    </xf>
    <xf numFmtId="49" fontId="100" fillId="0" borderId="111" xfId="0" applyNumberFormat="1" applyFont="1" applyBorder="1" applyAlignment="1">
      <alignment horizontal="left" vertical="center"/>
    </xf>
    <xf numFmtId="49" fontId="100" fillId="0" borderId="61" xfId="0" applyNumberFormat="1" applyFont="1" applyBorder="1" applyAlignment="1">
      <alignment horizontal="left" vertical="center"/>
    </xf>
    <xf numFmtId="49" fontId="100" fillId="0" borderId="85" xfId="0" applyNumberFormat="1" applyFont="1" applyBorder="1" applyAlignment="1">
      <alignment horizontal="center" vertical="center"/>
    </xf>
    <xf numFmtId="49" fontId="101" fillId="0" borderId="101" xfId="0" applyNumberFormat="1" applyFont="1" applyBorder="1" applyAlignment="1">
      <alignment horizontal="left" vertical="center"/>
    </xf>
    <xf numFmtId="49" fontId="101" fillId="0" borderId="51" xfId="0" applyNumberFormat="1" applyFont="1" applyBorder="1" applyAlignment="1">
      <alignment horizontal="left" vertical="center"/>
    </xf>
    <xf numFmtId="49" fontId="101" fillId="0" borderId="103" xfId="0" applyNumberFormat="1" applyFont="1" applyBorder="1" applyAlignment="1">
      <alignment horizontal="center" vertical="center"/>
    </xf>
    <xf numFmtId="49" fontId="111" fillId="0" borderId="108" xfId="0" applyNumberFormat="1" applyFont="1" applyBorder="1" applyAlignment="1">
      <alignment horizontal="left" vertical="center"/>
    </xf>
    <xf numFmtId="49" fontId="111" fillId="0" borderId="40" xfId="0" applyNumberFormat="1" applyFont="1" applyBorder="1" applyAlignment="1">
      <alignment horizontal="left" vertical="center"/>
    </xf>
    <xf numFmtId="49" fontId="111" fillId="0" borderId="106" xfId="0" applyNumberFormat="1" applyFont="1" applyBorder="1" applyAlignment="1">
      <alignment horizontal="left" vertical="center"/>
    </xf>
    <xf numFmtId="49" fontId="111" fillId="0" borderId="63" xfId="0" applyNumberFormat="1" applyFont="1" applyBorder="1" applyAlignment="1">
      <alignment horizontal="left" vertical="center"/>
    </xf>
    <xf numFmtId="167" fontId="100" fillId="0" borderId="105" xfId="0" applyNumberFormat="1" applyFont="1" applyBorder="1" applyAlignment="1">
      <alignment horizontal="center" vertical="center"/>
    </xf>
    <xf numFmtId="167" fontId="100" fillId="0" borderId="107" xfId="0" applyNumberFormat="1" applyFont="1" applyBorder="1" applyAlignment="1">
      <alignment horizontal="center" vertical="center"/>
    </xf>
    <xf numFmtId="167" fontId="100" fillId="0" borderId="93" xfId="0" applyNumberFormat="1" applyFont="1" applyBorder="1" applyAlignment="1">
      <alignment horizontal="center" vertical="center"/>
    </xf>
    <xf numFmtId="167" fontId="100" fillId="0" borderId="116" xfId="0" applyNumberFormat="1" applyFont="1" applyBorder="1" applyAlignment="1">
      <alignment horizontal="center" vertical="center"/>
    </xf>
    <xf numFmtId="167" fontId="100" fillId="0" borderId="102" xfId="0" applyNumberFormat="1" applyFont="1" applyBorder="1" applyAlignment="1">
      <alignment horizontal="center" vertical="center"/>
    </xf>
    <xf numFmtId="167" fontId="100" fillId="0" borderId="103" xfId="0" applyNumberFormat="1" applyFont="1" applyBorder="1" applyAlignment="1">
      <alignment horizontal="center" vertical="center"/>
    </xf>
    <xf numFmtId="167" fontId="111" fillId="0" borderId="103" xfId="0" applyNumberFormat="1" applyFont="1" applyBorder="1" applyAlignment="1">
      <alignment horizontal="center" vertical="center"/>
    </xf>
    <xf numFmtId="167" fontId="111" fillId="0" borderId="105" xfId="0" applyNumberFormat="1" applyFont="1" applyBorder="1" applyAlignment="1">
      <alignment horizontal="center" vertical="center"/>
    </xf>
    <xf numFmtId="167" fontId="111" fillId="0" borderId="107" xfId="0" applyNumberFormat="1" applyFont="1" applyBorder="1" applyAlignment="1">
      <alignment horizontal="center" vertical="center"/>
    </xf>
    <xf numFmtId="49" fontId="116" fillId="0" borderId="101" xfId="0" applyNumberFormat="1" applyFont="1" applyBorder="1" applyAlignment="1">
      <alignment horizontal="left" vertical="center"/>
    </xf>
    <xf numFmtId="49" fontId="116" fillId="0" borderId="51" xfId="0" applyNumberFormat="1" applyFont="1" applyBorder="1" applyAlignment="1">
      <alignment horizontal="left" vertical="center"/>
    </xf>
    <xf numFmtId="167" fontId="111" fillId="0" borderId="102" xfId="0" applyNumberFormat="1" applyFont="1" applyBorder="1" applyAlignment="1">
      <alignment horizontal="center" vertical="center"/>
    </xf>
    <xf numFmtId="49" fontId="116" fillId="0" borderId="103" xfId="0" applyNumberFormat="1" applyFont="1" applyBorder="1" applyAlignment="1">
      <alignment horizontal="center" vertical="center"/>
    </xf>
    <xf numFmtId="49" fontId="111" fillId="0" borderId="110" xfId="0" applyNumberFormat="1" applyFont="1" applyBorder="1" applyAlignment="1">
      <alignment horizontal="left" vertical="center"/>
    </xf>
    <xf numFmtId="49" fontId="111" fillId="0" borderId="57" xfId="0" applyNumberFormat="1" applyFont="1" applyBorder="1" applyAlignment="1">
      <alignment horizontal="left" vertical="center"/>
    </xf>
    <xf numFmtId="167" fontId="111" fillId="0" borderId="116" xfId="0" applyNumberFormat="1" applyFont="1" applyBorder="1" applyAlignment="1">
      <alignment horizontal="center" vertical="center"/>
    </xf>
    <xf numFmtId="0" fontId="117" fillId="0" borderId="60" xfId="2" applyFont="1" applyBorder="1"/>
    <xf numFmtId="0" fontId="117" fillId="0" borderId="61" xfId="2" applyFont="1" applyBorder="1"/>
    <xf numFmtId="0" fontId="117" fillId="0" borderId="67" xfId="2" applyFont="1" applyBorder="1" applyAlignment="1">
      <alignment horizontal="center"/>
    </xf>
    <xf numFmtId="0" fontId="117" fillId="0" borderId="62" xfId="2" applyFont="1" applyBorder="1"/>
    <xf numFmtId="0" fontId="117" fillId="0" borderId="17" xfId="2" applyFont="1" applyBorder="1"/>
    <xf numFmtId="0" fontId="117" fillId="0" borderId="54" xfId="2" applyFont="1" applyBorder="1" applyAlignment="1">
      <alignment horizontal="center"/>
    </xf>
    <xf numFmtId="0" fontId="117" fillId="0" borderId="112" xfId="2" applyFont="1" applyBorder="1"/>
    <xf numFmtId="0" fontId="117" fillId="0" borderId="113" xfId="2" applyFont="1" applyBorder="1"/>
    <xf numFmtId="0" fontId="117" fillId="0" borderId="114" xfId="2" applyFont="1" applyBorder="1" applyAlignment="1">
      <alignment horizontal="center"/>
    </xf>
    <xf numFmtId="0" fontId="118" fillId="0" borderId="62" xfId="2" applyFont="1" applyBorder="1"/>
    <xf numFmtId="0" fontId="118" fillId="0" borderId="51" xfId="2" applyFont="1" applyBorder="1"/>
    <xf numFmtId="0" fontId="118" fillId="0" borderId="52" xfId="2" applyFont="1" applyBorder="1" applyAlignment="1">
      <alignment horizontal="center"/>
    </xf>
    <xf numFmtId="0" fontId="118" fillId="0" borderId="115" xfId="2" applyFont="1" applyBorder="1"/>
    <xf numFmtId="0" fontId="118" fillId="0" borderId="17" xfId="2" applyFont="1" applyBorder="1"/>
    <xf numFmtId="0" fontId="118" fillId="0" borderId="54" xfId="2" applyFont="1" applyBorder="1" applyAlignment="1">
      <alignment horizontal="center"/>
    </xf>
    <xf numFmtId="49" fontId="117" fillId="0" borderId="104" xfId="0" applyNumberFormat="1" applyFont="1" applyBorder="1" applyAlignment="1">
      <alignment horizontal="left" vertical="center"/>
    </xf>
    <xf numFmtId="0" fontId="117" fillId="0" borderId="0" xfId="0" applyFont="1"/>
    <xf numFmtId="0" fontId="118" fillId="0" borderId="113" xfId="2" applyFont="1" applyBorder="1"/>
    <xf numFmtId="0" fontId="118" fillId="0" borderId="114" xfId="2" applyFont="1" applyBorder="1" applyAlignment="1">
      <alignment horizontal="center"/>
    </xf>
    <xf numFmtId="0" fontId="117" fillId="0" borderId="51" xfId="2" applyFont="1" applyBorder="1"/>
    <xf numFmtId="0" fontId="117" fillId="0" borderId="52" xfId="2" applyFont="1" applyBorder="1" applyAlignment="1">
      <alignment horizontal="center"/>
    </xf>
    <xf numFmtId="0" fontId="27" fillId="5" borderId="73" xfId="0" applyFont="1" applyFill="1" applyBorder="1" applyAlignment="1">
      <alignment horizontal="center" vertical="center"/>
    </xf>
    <xf numFmtId="0" fontId="27" fillId="5" borderId="87" xfId="0" applyFont="1" applyFill="1" applyBorder="1" applyAlignment="1">
      <alignment horizontal="center" vertical="center"/>
    </xf>
    <xf numFmtId="0" fontId="27" fillId="5" borderId="89" xfId="0" applyFont="1" applyFill="1" applyBorder="1" applyAlignment="1">
      <alignment horizontal="center" vertical="center"/>
    </xf>
    <xf numFmtId="0" fontId="27" fillId="5" borderId="117" xfId="0" applyFont="1" applyFill="1" applyBorder="1" applyAlignment="1">
      <alignment horizontal="center" vertical="center"/>
    </xf>
    <xf numFmtId="0" fontId="27" fillId="5" borderId="79" xfId="0" applyFont="1" applyFill="1" applyBorder="1" applyAlignment="1">
      <alignment horizontal="center" vertical="center"/>
    </xf>
    <xf numFmtId="0" fontId="27" fillId="5" borderId="80" xfId="0" applyFont="1" applyFill="1" applyBorder="1" applyAlignment="1">
      <alignment horizontal="center" vertical="center"/>
    </xf>
    <xf numFmtId="0" fontId="24" fillId="7" borderId="68" xfId="0" applyFont="1" applyFill="1" applyBorder="1" applyAlignment="1" applyProtection="1">
      <alignment horizontal="center" vertical="center" shrinkToFit="1"/>
      <protection hidden="1"/>
    </xf>
    <xf numFmtId="0" fontId="24" fillId="7" borderId="37" xfId="0" applyFont="1" applyFill="1" applyBorder="1" applyAlignment="1" applyProtection="1">
      <alignment horizontal="center" vertical="center" shrinkToFit="1"/>
      <protection hidden="1"/>
    </xf>
    <xf numFmtId="0" fontId="71" fillId="18" borderId="37" xfId="0" applyFont="1" applyFill="1" applyBorder="1" applyAlignment="1" applyProtection="1">
      <alignment horizontal="center" vertical="center" shrinkToFit="1"/>
      <protection hidden="1"/>
    </xf>
    <xf numFmtId="0" fontId="24" fillId="7" borderId="53" xfId="0" applyFont="1" applyFill="1" applyBorder="1" applyAlignment="1" applyProtection="1">
      <alignment horizontal="center" vertical="center" shrinkToFit="1"/>
      <protection hidden="1"/>
    </xf>
    <xf numFmtId="0" fontId="0" fillId="7" borderId="37" xfId="0" applyFill="1" applyBorder="1" applyAlignment="1" applyProtection="1">
      <alignment horizontal="center" vertical="center" shrinkToFit="1"/>
      <protection hidden="1"/>
    </xf>
    <xf numFmtId="0" fontId="0" fillId="7" borderId="53" xfId="0" applyFill="1" applyBorder="1" applyAlignment="1" applyProtection="1">
      <alignment horizontal="center" vertical="center" shrinkToFit="1"/>
      <protection hidden="1"/>
    </xf>
    <xf numFmtId="0" fontId="24" fillId="7" borderId="40" xfId="0" applyFont="1" applyFill="1" applyBorder="1" applyAlignment="1" applyProtection="1">
      <alignment horizontal="center" vertical="center" shrinkToFit="1"/>
      <protection hidden="1"/>
    </xf>
    <xf numFmtId="1" fontId="81" fillId="17" borderId="63" xfId="0" applyNumberFormat="1" applyFont="1" applyFill="1" applyBorder="1" applyAlignment="1" applyProtection="1">
      <alignment horizontal="left" vertical="center"/>
      <protection hidden="1"/>
    </xf>
    <xf numFmtId="0" fontId="81" fillId="0" borderId="51" xfId="0" applyFont="1" applyBorder="1" applyAlignment="1" applyProtection="1">
      <alignment horizontal="left" vertical="center"/>
      <protection hidden="1"/>
    </xf>
    <xf numFmtId="1" fontId="82" fillId="17" borderId="63" xfId="0" applyNumberFormat="1" applyFont="1" applyFill="1" applyBorder="1" applyAlignment="1" applyProtection="1">
      <alignment horizontal="center" vertical="center"/>
      <protection hidden="1"/>
    </xf>
    <xf numFmtId="1" fontId="82" fillId="17" borderId="51" xfId="0" applyNumberFormat="1" applyFont="1" applyFill="1" applyBorder="1" applyAlignment="1" applyProtection="1">
      <alignment horizontal="center" vertical="center"/>
      <protection hidden="1"/>
    </xf>
    <xf numFmtId="1" fontId="83" fillId="17" borderId="63" xfId="0" applyNumberFormat="1" applyFont="1" applyFill="1" applyBorder="1" applyAlignment="1" applyProtection="1">
      <alignment horizontal="center" vertical="center"/>
      <protection hidden="1"/>
    </xf>
    <xf numFmtId="0" fontId="83" fillId="0" borderId="51" xfId="0" applyFont="1" applyBorder="1" applyAlignment="1" applyProtection="1">
      <alignment horizontal="center" vertical="center"/>
      <protection hidden="1"/>
    </xf>
    <xf numFmtId="1" fontId="84" fillId="0" borderId="63" xfId="0" applyNumberFormat="1" applyFont="1" applyBorder="1" applyAlignment="1" applyProtection="1">
      <alignment horizontal="center" vertical="center"/>
      <protection hidden="1"/>
    </xf>
    <xf numFmtId="0" fontId="84" fillId="0" borderId="51" xfId="0" applyFont="1" applyBorder="1" applyAlignment="1" applyProtection="1">
      <alignment horizontal="center" vertical="center"/>
      <protection hidden="1"/>
    </xf>
    <xf numFmtId="1" fontId="85" fillId="17" borderId="63" xfId="0" applyNumberFormat="1" applyFont="1" applyFill="1" applyBorder="1" applyAlignment="1" applyProtection="1">
      <alignment horizontal="center" vertical="center"/>
      <protection hidden="1"/>
    </xf>
    <xf numFmtId="0" fontId="85" fillId="0" borderId="51" xfId="0" applyFont="1" applyBorder="1" applyAlignment="1" applyProtection="1">
      <alignment horizontal="center" vertical="center"/>
      <protection hidden="1"/>
    </xf>
    <xf numFmtId="1" fontId="86" fillId="17" borderId="63" xfId="0" applyNumberFormat="1" applyFont="1" applyFill="1" applyBorder="1" applyAlignment="1" applyProtection="1">
      <alignment horizontal="center" vertical="center"/>
      <protection hidden="1"/>
    </xf>
    <xf numFmtId="0" fontId="86" fillId="0" borderId="51" xfId="0" applyFont="1" applyBorder="1" applyAlignment="1" applyProtection="1">
      <alignment horizontal="center" vertical="center"/>
      <protection hidden="1"/>
    </xf>
    <xf numFmtId="1" fontId="87" fillId="17" borderId="63" xfId="0" applyNumberFormat="1" applyFont="1" applyFill="1" applyBorder="1" applyAlignment="1" applyProtection="1">
      <alignment horizontal="center" vertical="center"/>
      <protection hidden="1"/>
    </xf>
    <xf numFmtId="0" fontId="87" fillId="0" borderId="51" xfId="0" applyFont="1" applyBorder="1" applyAlignment="1" applyProtection="1">
      <alignment horizontal="center" vertical="center"/>
      <protection hidden="1"/>
    </xf>
    <xf numFmtId="1" fontId="91" fillId="17" borderId="63" xfId="0" applyNumberFormat="1" applyFont="1" applyFill="1" applyBorder="1" applyAlignment="1" applyProtection="1">
      <alignment horizontal="center" vertical="center"/>
      <protection hidden="1"/>
    </xf>
    <xf numFmtId="0" fontId="91" fillId="0" borderId="51" xfId="0" applyFont="1" applyBorder="1" applyAlignment="1" applyProtection="1">
      <alignment horizontal="center" vertical="center"/>
      <protection hidden="1"/>
    </xf>
    <xf numFmtId="1" fontId="92" fillId="17" borderId="63" xfId="0" applyNumberFormat="1" applyFont="1" applyFill="1" applyBorder="1" applyAlignment="1" applyProtection="1">
      <alignment horizontal="center" vertical="center"/>
      <protection hidden="1"/>
    </xf>
    <xf numFmtId="0" fontId="92" fillId="0" borderId="51" xfId="0" applyFont="1" applyBorder="1" applyAlignment="1" applyProtection="1">
      <alignment horizontal="center" vertical="center"/>
      <protection hidden="1"/>
    </xf>
    <xf numFmtId="166" fontId="93" fillId="17" borderId="63" xfId="0" applyNumberFormat="1" applyFont="1" applyFill="1" applyBorder="1" applyAlignment="1" applyProtection="1">
      <alignment horizontal="center" vertical="center"/>
      <protection hidden="1"/>
    </xf>
    <xf numFmtId="166" fontId="93" fillId="17" borderId="51" xfId="0" applyNumberFormat="1" applyFont="1" applyFill="1" applyBorder="1" applyAlignment="1" applyProtection="1">
      <alignment horizontal="center" vertical="center"/>
      <protection hidden="1"/>
    </xf>
    <xf numFmtId="0" fontId="114" fillId="17" borderId="17" xfId="0" applyFont="1" applyFill="1" applyBorder="1" applyAlignment="1" applyProtection="1">
      <alignment horizontal="center" vertical="center"/>
      <protection hidden="1"/>
    </xf>
    <xf numFmtId="0" fontId="114" fillId="0" borderId="17" xfId="0" applyFont="1" applyBorder="1" applyAlignment="1" applyProtection="1">
      <alignment horizontal="center" vertical="center"/>
      <protection hidden="1"/>
    </xf>
    <xf numFmtId="1" fontId="115" fillId="17" borderId="63" xfId="0" applyNumberFormat="1" applyFont="1" applyFill="1" applyBorder="1" applyAlignment="1" applyProtection="1">
      <alignment horizontal="center" vertical="center"/>
      <protection hidden="1"/>
    </xf>
    <xf numFmtId="1" fontId="115" fillId="17" borderId="51" xfId="0" applyNumberFormat="1" applyFont="1" applyFill="1" applyBorder="1" applyAlignment="1" applyProtection="1">
      <alignment horizontal="center" vertical="center"/>
      <protection hidden="1"/>
    </xf>
    <xf numFmtId="0" fontId="113" fillId="17" borderId="84" xfId="0" applyFont="1" applyFill="1" applyBorder="1" applyAlignment="1" applyProtection="1">
      <alignment horizontal="center" vertical="center"/>
      <protection hidden="1"/>
    </xf>
    <xf numFmtId="1" fontId="112" fillId="17" borderId="63" xfId="0" applyNumberFormat="1" applyFont="1" applyFill="1" applyBorder="1" applyAlignment="1" applyProtection="1">
      <alignment horizontal="center" vertical="center"/>
      <protection hidden="1"/>
    </xf>
    <xf numFmtId="1" fontId="112" fillId="17" borderId="51" xfId="0" applyNumberFormat="1" applyFont="1" applyFill="1" applyBorder="1" applyAlignment="1" applyProtection="1">
      <alignment horizontal="center" vertical="center"/>
      <protection hidden="1"/>
    </xf>
    <xf numFmtId="1" fontId="96" fillId="17" borderId="0" xfId="0" applyNumberFormat="1" applyFont="1" applyFill="1" applyAlignment="1" applyProtection="1">
      <alignment horizontal="center"/>
      <protection hidden="1"/>
    </xf>
    <xf numFmtId="1" fontId="95" fillId="17" borderId="0" xfId="0" applyNumberFormat="1" applyFont="1" applyFill="1" applyProtection="1">
      <protection hidden="1"/>
    </xf>
    <xf numFmtId="0" fontId="96" fillId="17" borderId="0" xfId="0" applyFont="1" applyFill="1" applyAlignment="1" applyProtection="1">
      <alignment horizontal="center"/>
      <protection hidden="1"/>
    </xf>
    <xf numFmtId="0" fontId="73" fillId="17" borderId="0" xfId="0" applyFont="1" applyFill="1" applyAlignment="1" applyProtection="1">
      <alignment horizontal="center" vertical="center"/>
      <protection hidden="1"/>
    </xf>
    <xf numFmtId="0" fontId="0" fillId="0" borderId="0" xfId="0"/>
    <xf numFmtId="0" fontId="0" fillId="0" borderId="86" xfId="0" applyBorder="1"/>
    <xf numFmtId="0" fontId="4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33" fillId="9" borderId="2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7" fillId="4" borderId="28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7" fillId="19" borderId="28" xfId="0" applyFont="1" applyFill="1" applyBorder="1" applyAlignment="1">
      <alignment horizontal="center"/>
    </xf>
    <xf numFmtId="0" fontId="8" fillId="19" borderId="3" xfId="0" applyFont="1" applyFill="1" applyBorder="1" applyAlignment="1">
      <alignment horizontal="center"/>
    </xf>
    <xf numFmtId="0" fontId="8" fillId="19" borderId="4" xfId="0" applyFont="1" applyFill="1" applyBorder="1" applyAlignment="1">
      <alignment horizontal="center"/>
    </xf>
    <xf numFmtId="0" fontId="27" fillId="10" borderId="28" xfId="0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8" fillId="10" borderId="4" xfId="0" applyFont="1" applyFill="1" applyBorder="1" applyAlignment="1">
      <alignment horizontal="center"/>
    </xf>
    <xf numFmtId="0" fontId="27" fillId="19" borderId="90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7" fillId="10" borderId="90" xfId="0" applyFont="1" applyFill="1" applyBorder="1" applyAlignment="1">
      <alignment horizontal="center" vertical="center"/>
    </xf>
    <xf numFmtId="0" fontId="19" fillId="0" borderId="90" xfId="0" applyFont="1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9" fillId="0" borderId="7" xfId="0" applyFont="1" applyBorder="1" applyAlignment="1">
      <alignment horizontal="center"/>
    </xf>
    <xf numFmtId="0" fontId="10" fillId="9" borderId="28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  <xf numFmtId="0" fontId="10" fillId="9" borderId="90" xfId="0" applyFont="1" applyFill="1" applyBorder="1" applyAlignment="1">
      <alignment horizontal="center"/>
    </xf>
    <xf numFmtId="0" fontId="11" fillId="9" borderId="27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</cellXfs>
  <cellStyles count="4">
    <cellStyle name="Collegamento ipertestuale" xfId="1" builtinId="8"/>
    <cellStyle name="Normale" xfId="0" builtinId="0"/>
    <cellStyle name="Normale 2" xfId="2" xr:uid="{CD318C6A-1238-402D-92D1-83AF4FB6C94A}"/>
    <cellStyle name="Percentuale" xfId="3" builtinId="5"/>
  </cellStyles>
  <dxfs count="0"/>
  <tableStyles count="1" defaultTableStyle="TableStyleMedium9" defaultPivotStyle="PivotStyleLight16">
    <tableStyle name="MySqlDefault" pivot="0" count="0" xr9:uid="{492078BE-3444-4766-AE46-F3B6F317E6C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75" b="1" i="1" u="none" strike="noStrike" baseline="0">
                <a:solidFill>
                  <a:srgbClr val="800000"/>
                </a:solidFill>
                <a:latin typeface="Kristen ITC"/>
                <a:ea typeface="Kristen ITC"/>
                <a:cs typeface="Kristen ITC"/>
              </a:defRPr>
            </a:pPr>
            <a:r>
              <a:rPr lang="it-IT"/>
              <a:t>Grafico Classifica</a:t>
            </a:r>
          </a:p>
        </c:rich>
      </c:tx>
      <c:layout>
        <c:manualLayout>
          <c:xMode val="edge"/>
          <c:yMode val="edge"/>
          <c:x val="0.16456244654811406"/>
          <c:y val="4.996441771309197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570847914503266E-2"/>
          <c:y val="5.3798241060115444E-2"/>
          <c:w val="0.92431843771915434"/>
          <c:h val="0.77809772279318601"/>
        </c:manualLayout>
      </c:layout>
      <c:barChart>
        <c:barDir val="bar"/>
        <c:grouping val="clustered"/>
        <c:varyColors val="1"/>
        <c:ser>
          <c:idx val="1"/>
          <c:order val="0"/>
          <c:spPr>
            <a:solidFill>
              <a:srgbClr val="FF0000">
                <a:alpha val="100000"/>
              </a:srgbClr>
            </a:solidFill>
            <a:ln w="12700">
              <a:solidFill>
                <a:srgbClr val="000000">
                  <a:alpha val="100000"/>
                </a:srgbClr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66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0-189E-41D4-9B89-AB29BD1E0CF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89E-41D4-9B89-AB29BD1E0CF5}"/>
              </c:ext>
            </c:extLst>
          </c:dPt>
          <c:dPt>
            <c:idx val="2"/>
            <c:invertIfNegative val="0"/>
            <c:bubble3D val="0"/>
            <c:spPr>
              <a:solidFill>
                <a:srgbClr val="00FFFF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9E-41D4-9B89-AB29BD1E0CF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89E-41D4-9B89-AB29BD1E0CF5}"/>
              </c:ext>
            </c:extLst>
          </c:dPt>
          <c:dPt>
            <c:idx val="4"/>
            <c:invertIfNegative val="0"/>
            <c:bubble3D val="0"/>
            <c:spPr>
              <a:solidFill>
                <a:srgbClr val="8000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9E-41D4-9B89-AB29BD1E0CF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189E-41D4-9B89-AB29BD1E0CF5}"/>
              </c:ext>
            </c:extLst>
          </c:dPt>
          <c:dPt>
            <c:idx val="6"/>
            <c:invertIfNegative val="0"/>
            <c:bubble3D val="0"/>
            <c:spPr>
              <a:solidFill>
                <a:srgbClr val="FF99CC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9E-41D4-9B89-AB29BD1E0CF5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189E-41D4-9B89-AB29BD1E0CF5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9E-41D4-9B89-AB29BD1E0CF5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189E-41D4-9B89-AB29BD1E0CF5}"/>
              </c:ext>
            </c:extLst>
          </c:dPt>
          <c:dPt>
            <c:idx val="10"/>
            <c:invertIfNegative val="0"/>
            <c:bubble3D val="0"/>
            <c:spPr>
              <a:solidFill>
                <a:srgbClr val="339966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A-189E-41D4-9B89-AB29BD1E0CF5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89E-41D4-9B89-AB29BD1E0CF5}"/>
              </c:ext>
            </c:extLst>
          </c:dPt>
          <c:dPt>
            <c:idx val="12"/>
            <c:invertIfNegative val="0"/>
            <c:bubble3D val="0"/>
            <c:spPr>
              <a:solidFill>
                <a:srgbClr val="3366FF">
                  <a:alpha val="100000"/>
                </a:srgbClr>
              </a:solidFill>
              <a:ln w="12700">
                <a:solidFill>
                  <a:srgbClr val="000000">
                    <a:alpha val="100000"/>
                  </a:srgbClr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C-189E-41D4-9B89-AB29BD1E0CF5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89E-41D4-9B89-AB29BD1E0CF5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189E-41D4-9B89-AB29BD1E0CF5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189E-41D4-9B89-AB29BD1E0CF5}"/>
              </c:ext>
            </c:extLst>
          </c:dPt>
          <c:cat>
            <c:strRef>
              <c:f>CAMPIONATO!$AX$6:$AX$21</c:f>
              <c:strCache>
                <c:ptCount val="15"/>
                <c:pt idx="0">
                  <c:v>Eugenio</c:v>
                </c:pt>
                <c:pt idx="2">
                  <c:v>Riccardo</c:v>
                </c:pt>
                <c:pt idx="4">
                  <c:v>Enrico</c:v>
                </c:pt>
                <c:pt idx="6">
                  <c:v>Vincenzo</c:v>
                </c:pt>
                <c:pt idx="8">
                  <c:v>Molina</c:v>
                </c:pt>
                <c:pt idx="10">
                  <c:v>Daniele</c:v>
                </c:pt>
                <c:pt idx="12">
                  <c:v>Fabrizio</c:v>
                </c:pt>
                <c:pt idx="14">
                  <c:v>Dario</c:v>
                </c:pt>
              </c:strCache>
            </c:strRef>
          </c:cat>
          <c:val>
            <c:numRef>
              <c:f>CAMPIONATO!$AY$6:$AY$21</c:f>
              <c:numCache>
                <c:formatCode>0</c:formatCode>
                <c:ptCount val="16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  <c:pt idx="10">
                  <c:v>0</c:v>
                </c:pt>
                <c:pt idx="12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89E-41D4-9B89-AB29BD1E0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99954495"/>
        <c:axId val="1"/>
      </c:barChart>
      <c:catAx>
        <c:axId val="299954495"/>
        <c:scaling>
          <c:orientation val="maxMin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6"/>
          <c:min val="0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inorGridlines>
        <c:numFmt formatCode="0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99954495"/>
        <c:crosses val="max"/>
        <c:crossBetween val="between"/>
        <c:majorUnit val="1"/>
        <c:minorUnit val="1"/>
      </c:valAx>
      <c:spPr>
        <a:solidFill>
          <a:schemeClr val="bg1">
            <a:lumMod val="95000"/>
            <a:alpha val="97000"/>
          </a:schemeClr>
        </a:solidFill>
        <a:ln w="12700">
          <a:solidFill>
            <a:srgbClr val="808080">
              <a:alpha val="100000"/>
            </a:srgbClr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  <a:effectLst/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it-IT"/>
              <a:t>Andamento Campionato</a:t>
            </a:r>
          </a:p>
        </c:rich>
      </c:tx>
      <c:layout>
        <c:manualLayout>
          <c:xMode val="edge"/>
          <c:yMode val="edge"/>
          <c:x val="0.10313906242350983"/>
          <c:y val="3.31628164043233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8286516853932581E-2"/>
          <c:y val="1.8604651162790697E-2"/>
          <c:w val="0.93258426966292129"/>
          <c:h val="0.89883720930232558"/>
        </c:manualLayout>
      </c:layout>
      <c:lineChart>
        <c:grouping val="standard"/>
        <c:varyColors val="0"/>
        <c:ser>
          <c:idx val="0"/>
          <c:order val="0"/>
          <c:tx>
            <c:strRef>
              <c:f>Grafico!$D$9</c:f>
              <c:strCache>
                <c:ptCount val="1"/>
                <c:pt idx="0">
                  <c:v>VINCENZO</c:v>
                </c:pt>
              </c:strCache>
            </c:strRef>
          </c:tx>
          <c:spPr>
            <a:ln w="38100" cap="rnd" cmpd="sng" algn="ctr">
              <a:solidFill>
                <a:srgbClr val="8000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Grafico!$D$10:$D$38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22-4EB5-B8C2-EDAE4ADFAFF5}"/>
            </c:ext>
          </c:extLst>
        </c:ser>
        <c:ser>
          <c:idx val="1"/>
          <c:order val="1"/>
          <c:tx>
            <c:strRef>
              <c:f>Grafico!$E$9</c:f>
              <c:strCache>
                <c:ptCount val="1"/>
                <c:pt idx="0">
                  <c:v>MOLINA</c:v>
                </c:pt>
              </c:strCache>
            </c:strRef>
          </c:tx>
          <c:spPr>
            <a:ln w="38100" cap="rnd" cmpd="sng" algn="ctr">
              <a:solidFill>
                <a:srgbClr val="FF66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Grafico!$E$10:$E$38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22-4EB5-B8C2-EDAE4ADFAFF5}"/>
            </c:ext>
          </c:extLst>
        </c:ser>
        <c:ser>
          <c:idx val="2"/>
          <c:order val="2"/>
          <c:tx>
            <c:strRef>
              <c:f>Grafico!$F$9</c:f>
              <c:strCache>
                <c:ptCount val="1"/>
                <c:pt idx="0">
                  <c:v>DARIO</c:v>
                </c:pt>
              </c:strCache>
            </c:strRef>
          </c:tx>
          <c:spPr>
            <a:ln w="38100" cap="rnd" cmpd="sng" algn="ctr">
              <a:solidFill>
                <a:srgbClr val="FFFF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Grafico!$F$10:$F$38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22-4EB5-B8C2-EDAE4ADFAFF5}"/>
            </c:ext>
          </c:extLst>
        </c:ser>
        <c:ser>
          <c:idx val="3"/>
          <c:order val="3"/>
          <c:tx>
            <c:strRef>
              <c:f>Grafico!$G$9</c:f>
              <c:strCache>
                <c:ptCount val="1"/>
                <c:pt idx="0">
                  <c:v>FABRIZIO</c:v>
                </c:pt>
              </c:strCache>
            </c:strRef>
          </c:tx>
          <c:spPr>
            <a:ln w="38100" cap="rnd" cmpd="sng" algn="ctr">
              <a:solidFill>
                <a:srgbClr val="00FFFF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Grafico!$G$10:$G$38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22-4EB5-B8C2-EDAE4ADFAFF5}"/>
            </c:ext>
          </c:extLst>
        </c:ser>
        <c:ser>
          <c:idx val="4"/>
          <c:order val="4"/>
          <c:tx>
            <c:strRef>
              <c:f>Grafico!$H$9</c:f>
              <c:strCache>
                <c:ptCount val="1"/>
                <c:pt idx="0">
                  <c:v>DANIELE</c:v>
                </c:pt>
              </c:strCache>
            </c:strRef>
          </c:tx>
          <c:spPr>
            <a:ln w="38100" cap="rnd" cmpd="sng" algn="ctr">
              <a:solidFill>
                <a:srgbClr val="FF0000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Grafico!$H$10:$H$38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622-4EB5-B8C2-EDAE4ADFAFF5}"/>
            </c:ext>
          </c:extLst>
        </c:ser>
        <c:ser>
          <c:idx val="5"/>
          <c:order val="5"/>
          <c:tx>
            <c:strRef>
              <c:f>Grafico!$I$9</c:f>
              <c:strCache>
                <c:ptCount val="1"/>
                <c:pt idx="0">
                  <c:v>RICCARDO</c:v>
                </c:pt>
              </c:strCache>
            </c:strRef>
          </c:tx>
          <c:spPr>
            <a:ln w="38100" cap="rnd" cmpd="sng" algn="ctr">
              <a:solidFill>
                <a:srgbClr val="3366FF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Grafico!$I$10:$I$38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22-4EB5-B8C2-EDAE4ADFAFF5}"/>
            </c:ext>
          </c:extLst>
        </c:ser>
        <c:ser>
          <c:idx val="6"/>
          <c:order val="6"/>
          <c:tx>
            <c:strRef>
              <c:f>Grafico!$J$9</c:f>
              <c:strCache>
                <c:ptCount val="1"/>
                <c:pt idx="0">
                  <c:v>ENRICO</c:v>
                </c:pt>
              </c:strCache>
            </c:strRef>
          </c:tx>
          <c:spPr>
            <a:ln w="38100" cap="rnd" cmpd="sng" algn="ctr">
              <a:solidFill>
                <a:srgbClr val="FF99CC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Grafico!$J$10:$J$38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622-4EB5-B8C2-EDAE4ADFAFF5}"/>
            </c:ext>
          </c:extLst>
        </c:ser>
        <c:ser>
          <c:idx val="7"/>
          <c:order val="7"/>
          <c:tx>
            <c:strRef>
              <c:f>Grafico!$K$9</c:f>
              <c:strCache>
                <c:ptCount val="1"/>
                <c:pt idx="0">
                  <c:v>EUGENIO</c:v>
                </c:pt>
              </c:strCache>
            </c:strRef>
          </c:tx>
          <c:spPr>
            <a:ln w="38100" cap="rnd" cmpd="sng" algn="ctr">
              <a:solidFill>
                <a:srgbClr val="339966">
                  <a:alpha val="100000"/>
                </a:srgbClr>
              </a:solidFill>
              <a:prstDash val="lgDash"/>
              <a:round/>
            </a:ln>
            <a:effectLst/>
          </c:spPr>
          <c:marker>
            <c:symbol val="none"/>
          </c:marker>
          <c:cat>
            <c:numRef>
              <c:f>Grafico!$C$10:$C$38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</c:numCache>
            </c:numRef>
          </c:cat>
          <c:val>
            <c:numRef>
              <c:f>Grafico!$K$10:$K$38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22-4EB5-B8C2-EDAE4ADFA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960735"/>
        <c:axId val="1"/>
      </c:lineChart>
      <c:catAx>
        <c:axId val="299960735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Giornate</a:t>
                </a:r>
              </a:p>
            </c:rich>
          </c:tx>
          <c:layout>
            <c:manualLayout>
              <c:xMode val="edge"/>
              <c:yMode val="edge"/>
              <c:x val="0.25561800291462849"/>
              <c:y val="0.9511627618785611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6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it-IT"/>
                  <a:t>Punti</a:t>
                </a:r>
              </a:p>
            </c:rich>
          </c:tx>
          <c:layout>
            <c:manualLayout>
              <c:xMode val="edge"/>
              <c:yMode val="edge"/>
              <c:x val="3.5112361313515868E-3"/>
              <c:y val="0.3337208380113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cross"/>
        <c:tickLblPos val="nextTo"/>
        <c:spPr>
          <a:noFill/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299960735"/>
        <c:crosses val="autoZero"/>
        <c:crossBetween val="midCat"/>
        <c:majorUnit val="5"/>
        <c:minorUnit val="1"/>
      </c:valAx>
      <c:spPr>
        <a:solidFill>
          <a:schemeClr val="bg1">
            <a:lumMod val="85000"/>
          </a:schemeClr>
        </a:solidFill>
        <a:ln w="12700">
          <a:solidFill>
            <a:srgbClr val="808080">
              <a:alpha val="100000"/>
            </a:srgbClr>
          </a:solidFill>
          <a:prstDash val="solid"/>
        </a:ln>
        <a:effectLst/>
      </c:spPr>
    </c:plotArea>
    <c:legend>
      <c:legendPos val="r"/>
      <c:legendEntry>
        <c:idx val="0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1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2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3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4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5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6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egendEntry>
        <c:idx val="7"/>
        <c:txPr>
          <a:bodyPr/>
          <a:lstStyle/>
          <a:p>
            <a:pPr>
              <a:defRPr sz="770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</c:legendEntry>
      <c:layout>
        <c:manualLayout>
          <c:xMode val="edge"/>
          <c:yMode val="edge"/>
          <c:x val="7.5283945466203581E-2"/>
          <c:y val="5.6780413835246721E-2"/>
          <c:w val="0.17309379587505075"/>
          <c:h val="0.43222641552136792"/>
        </c:manualLayout>
      </c:layout>
      <c:overlay val="0"/>
      <c:spPr>
        <a:solidFill>
          <a:schemeClr val="bg2"/>
        </a:solidFill>
        <a:ln w="3175">
          <a:solidFill>
            <a:srgbClr val="000000">
              <a:alpha val="100000"/>
            </a:srgbClr>
          </a:solidFill>
          <a:prstDash val="solid"/>
        </a:ln>
        <a:effectLst>
          <a:outerShdw dist="35921" dir="2700000" algn="br" rotWithShape="0">
            <a:srgbClr val="000000"/>
          </a:outerShdw>
        </a:effectLst>
      </c:spPr>
      <c:txPr>
        <a:bodyPr/>
        <a:lstStyle/>
        <a:p>
          <a:pPr>
            <a:defRPr sz="7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  <a:effectLst/>
  </c:spPr>
  <c:txPr>
    <a:bodyPr/>
    <a:lstStyle/>
    <a:p>
      <a:pPr>
        <a:defRPr sz="2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139700</xdr:colOff>
      <xdr:row>21</xdr:row>
      <xdr:rowOff>184150</xdr:rowOff>
    </xdr:from>
    <xdr:to>
      <xdr:col>64</xdr:col>
      <xdr:colOff>266700</xdr:colOff>
      <xdr:row>58</xdr:row>
      <xdr:rowOff>69850</xdr:rowOff>
    </xdr:to>
    <xdr:graphicFrame macro="">
      <xdr:nvGraphicFramePr>
        <xdr:cNvPr id="6697011" name="Chart 254">
          <a:extLst>
            <a:ext uri="{FF2B5EF4-FFF2-40B4-BE49-F238E27FC236}">
              <a16:creationId xmlns:a16="http://schemas.microsoft.com/office/drawing/2014/main" id="{F737DF2B-2174-A0DC-C9ED-F548AC10A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49</xdr:col>
          <xdr:colOff>571500</xdr:colOff>
          <xdr:row>0</xdr:row>
          <xdr:rowOff>114300</xdr:rowOff>
        </xdr:from>
        <xdr:to>
          <xdr:col>51</xdr:col>
          <xdr:colOff>285750</xdr:colOff>
          <xdr:row>3</xdr:row>
          <xdr:rowOff>95250</xdr:rowOff>
        </xdr:to>
        <xdr:sp macro="" textlink="">
          <xdr:nvSpPr>
            <xdr:cNvPr id="1253" name="CommandButton1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1</xdr:row>
      <xdr:rowOff>38100</xdr:rowOff>
    </xdr:from>
    <xdr:to>
      <xdr:col>47</xdr:col>
      <xdr:colOff>0</xdr:colOff>
      <xdr:row>40</xdr:row>
      <xdr:rowOff>184150</xdr:rowOff>
    </xdr:to>
    <xdr:graphicFrame macro="">
      <xdr:nvGraphicFramePr>
        <xdr:cNvPr id="6699059" name="Chart 1">
          <a:extLst>
            <a:ext uri="{FF2B5EF4-FFF2-40B4-BE49-F238E27FC236}">
              <a16:creationId xmlns:a16="http://schemas.microsoft.com/office/drawing/2014/main" id="{2237EF06-D4CB-CB15-3995-8DE255F83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69850</xdr:colOff>
          <xdr:row>1</xdr:row>
          <xdr:rowOff>6350</xdr:rowOff>
        </xdr:from>
        <xdr:to>
          <xdr:col>7</xdr:col>
          <xdr:colOff>171450</xdr:colOff>
          <xdr:row>2</xdr:row>
          <xdr:rowOff>0</xdr:rowOff>
        </xdr:to>
        <xdr:sp macro="" textlink="">
          <xdr:nvSpPr>
            <xdr:cNvPr id="7170" name="CommandButton1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tacalcio.it/serie-a/squadre/juventus/woltemade/6752" TargetMode="External"/><Relationship Id="rId2" Type="http://schemas.openxmlformats.org/officeDocument/2006/relationships/hyperlink" Target="https://www.fantacalcio.it/serie-a/squadre/juventus/grabara/7603" TargetMode="External"/><Relationship Id="rId1" Type="http://schemas.openxmlformats.org/officeDocument/2006/relationships/hyperlink" Target="https://www.fantacalcio.it/serie-a/squadre/juventus/conceicao/6884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fantacalcio.it/serie-a/squadre/napoli/santos-a/7351" TargetMode="External"/><Relationship Id="rId4" Type="http://schemas.openxmlformats.org/officeDocument/2006/relationships/hyperlink" Target="https://www.fantacalcio.it/serie-a/squadre/lazio/tavares-n/562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control" Target="../activeX/activeX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4882-645D-4175-86D2-7F46D57038F1}">
  <sheetPr codeName="Foglio1">
    <tabColor indexed="10"/>
  </sheetPr>
  <dimension ref="A1:BY74"/>
  <sheetViews>
    <sheetView zoomScale="85" zoomScaleNormal="85" zoomScaleSheetLayoutView="70" workbookViewId="0">
      <selection activeCell="AL51" sqref="AL51"/>
    </sheetView>
  </sheetViews>
  <sheetFormatPr defaultColWidth="9.08984375" defaultRowHeight="11.25" customHeight="1" x14ac:dyDescent="0.25"/>
  <cols>
    <col min="1" max="1" width="3.453125" style="271" customWidth="1"/>
    <col min="2" max="3" width="3.90625" style="272" customWidth="1"/>
    <col min="4" max="4" width="9.54296875" style="273" customWidth="1"/>
    <col min="5" max="12" width="4" style="274" hidden="1" customWidth="1"/>
    <col min="13" max="13" width="0.453125" style="274" customWidth="1"/>
    <col min="14" max="14" width="9.54296875" style="273" customWidth="1"/>
    <col min="15" max="22" width="4" style="274" hidden="1" customWidth="1"/>
    <col min="23" max="24" width="4" style="272" customWidth="1"/>
    <col min="25" max="25" width="3.453125" style="274" customWidth="1"/>
    <col min="26" max="27" width="3.90625" style="272" customWidth="1"/>
    <col min="28" max="28" width="9.54296875" style="273" customWidth="1"/>
    <col min="29" max="36" width="4.6328125" style="274" hidden="1" customWidth="1"/>
    <col min="37" max="37" width="0.453125" style="274" customWidth="1"/>
    <col min="38" max="38" width="9.54296875" style="273" customWidth="1"/>
    <col min="39" max="46" width="3.453125" style="274" hidden="1" customWidth="1"/>
    <col min="47" max="48" width="4" style="272" customWidth="1"/>
    <col min="49" max="49" width="4" style="271" customWidth="1"/>
    <col min="50" max="50" width="17.36328125" style="271" customWidth="1"/>
    <col min="51" max="51" width="12.36328125" style="271" customWidth="1"/>
    <col min="52" max="59" width="16.36328125" style="271" customWidth="1"/>
    <col min="60" max="60" width="13.08984375" style="271" customWidth="1"/>
    <col min="61" max="61" width="20.453125" style="271" customWidth="1"/>
    <col min="62" max="62" width="13.90625" style="271" customWidth="1"/>
    <col min="63" max="63" width="15.90625" style="271" customWidth="1"/>
    <col min="64" max="66" width="17.36328125" style="271" customWidth="1"/>
    <col min="67" max="68" width="5.6328125" style="271" customWidth="1"/>
    <col min="69" max="69" width="9.54296875" style="271" customWidth="1"/>
    <col min="70" max="70" width="19.36328125" style="271" customWidth="1"/>
    <col min="71" max="71" width="8" style="271" bestFit="1" customWidth="1"/>
    <col min="72" max="72" width="14.36328125" style="271" bestFit="1" customWidth="1"/>
    <col min="73" max="73" width="14.90625" style="271" bestFit="1" customWidth="1"/>
    <col min="74" max="74" width="12.54296875" style="271" bestFit="1" customWidth="1"/>
    <col min="75" max="75" width="14" style="271" bestFit="1" customWidth="1"/>
    <col min="76" max="76" width="12.453125" style="271" customWidth="1"/>
    <col min="77" max="85" width="12.54296875" style="271" bestFit="1" customWidth="1"/>
    <col min="86" max="86" width="17.453125" style="271" bestFit="1" customWidth="1"/>
    <col min="87" max="16384" width="9.08984375" style="271"/>
  </cols>
  <sheetData>
    <row r="1" spans="1:77" ht="11.9" customHeight="1" x14ac:dyDescent="0.25"/>
    <row r="2" spans="1:77" ht="11.9" customHeight="1" x14ac:dyDescent="0.25">
      <c r="BW2" s="305"/>
      <c r="BX2" s="305"/>
      <c r="BY2" s="305"/>
    </row>
    <row r="3" spans="1:77" ht="11.9" customHeight="1" x14ac:dyDescent="0.25">
      <c r="B3" s="430" t="s">
        <v>0</v>
      </c>
      <c r="C3" s="431"/>
      <c r="D3" s="432" t="s">
        <v>1</v>
      </c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297"/>
      <c r="P3" s="297"/>
      <c r="Q3" s="297"/>
      <c r="R3" s="297"/>
      <c r="S3" s="297"/>
      <c r="T3" s="297"/>
      <c r="U3" s="297"/>
      <c r="V3" s="297"/>
      <c r="W3" s="431" t="s">
        <v>2</v>
      </c>
      <c r="X3" s="433"/>
      <c r="Z3" s="430" t="s">
        <v>0</v>
      </c>
      <c r="AA3" s="431"/>
      <c r="AB3" s="432" t="s">
        <v>3</v>
      </c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297"/>
      <c r="AN3" s="297"/>
      <c r="AO3" s="297"/>
      <c r="AP3" s="297"/>
      <c r="AQ3" s="297"/>
      <c r="AR3" s="297"/>
      <c r="AS3" s="297"/>
      <c r="AT3" s="297"/>
      <c r="AU3" s="431" t="s">
        <v>2</v>
      </c>
      <c r="AV3" s="433"/>
      <c r="AX3" s="467" t="str">
        <f>CONCATENATE("CLASSIFICA FANTACALCIO  ",'Proposte d''Acquisto'!B1,"                                   ")</f>
        <v xml:space="preserve">CLASSIFICA FANTACALCIO  2018/2019                                   </v>
      </c>
      <c r="AY3" s="468"/>
      <c r="AZ3" s="468"/>
      <c r="BA3" s="468"/>
      <c r="BB3" s="468"/>
      <c r="BC3" s="468"/>
      <c r="BD3" s="468"/>
      <c r="BE3" s="468"/>
      <c r="BF3" s="468"/>
      <c r="BG3" s="468"/>
      <c r="BH3" s="468"/>
      <c r="BI3" s="468"/>
      <c r="BJ3" s="468"/>
      <c r="BW3" s="306"/>
      <c r="BX3" s="307"/>
      <c r="BY3" s="308"/>
    </row>
    <row r="4" spans="1:77" ht="11.9" customHeight="1" x14ac:dyDescent="0.25">
      <c r="B4" s="275"/>
      <c r="C4" s="276"/>
      <c r="D4" s="277" t="str">
        <f>'Proposte d''Acquisto'!B3</f>
        <v>ENRICO</v>
      </c>
      <c r="E4" s="278" t="str">
        <f>IF(B4&gt;C4,3,IF(B4&lt;C4,0,IF(B4="","",1)))</f>
        <v/>
      </c>
      <c r="F4" s="278" t="str">
        <f>IF(C4&gt;B4,3,IF(C4&lt;B4,0,IF(C4="","",1)))</f>
        <v/>
      </c>
      <c r="G4" s="279">
        <f>IF(E4=3,1,0)</f>
        <v>0</v>
      </c>
      <c r="H4" s="279">
        <f>IF(E4=1,1,0)</f>
        <v>0</v>
      </c>
      <c r="I4" s="279">
        <f>IF(E4=0,1,0)</f>
        <v>0</v>
      </c>
      <c r="J4" s="279">
        <f>IF(F4=3,1,0)</f>
        <v>0</v>
      </c>
      <c r="K4" s="279">
        <f>IF(F4=1,1,0)</f>
        <v>0</v>
      </c>
      <c r="L4" s="279">
        <f>IF(F4=0,1,0)</f>
        <v>0</v>
      </c>
      <c r="N4" s="283" t="str">
        <f>'Proposte d''Acquisto'!B8</f>
        <v>RICCARDO</v>
      </c>
      <c r="O4" s="278" t="str">
        <f>IF(W4&gt;X4,3,IF(W4&lt;X4,0,IF(W4="","",1)))</f>
        <v/>
      </c>
      <c r="P4" s="278" t="str">
        <f>IF(X4&gt;W4,3,IF(X4&lt;W4,0,IF(X4="","",1)))</f>
        <v/>
      </c>
      <c r="Q4" s="279">
        <f>IF(O4=3,1,0)</f>
        <v>0</v>
      </c>
      <c r="R4" s="279">
        <f>IF(O4=1,1,0)</f>
        <v>0</v>
      </c>
      <c r="S4" s="279">
        <f>IF(O4=0,1,0)</f>
        <v>0</v>
      </c>
      <c r="T4" s="279">
        <f>IF(P4=3,1,0)</f>
        <v>0</v>
      </c>
      <c r="U4" s="279">
        <f>IF(P4=1,1,0)</f>
        <v>0</v>
      </c>
      <c r="V4" s="279">
        <f>IF(P4=0,1,0)</f>
        <v>0</v>
      </c>
      <c r="W4" s="275"/>
      <c r="X4" s="276"/>
      <c r="Z4" s="275"/>
      <c r="AA4" s="276"/>
      <c r="AB4" s="283" t="str">
        <f>'Proposte d''Acquisto'!B3</f>
        <v>ENRICO</v>
      </c>
      <c r="AC4" s="278" t="str">
        <f>IF(Z4&gt;AA4,3,IF(Z4&lt;AA4,0,IF(Z4="","",1)))</f>
        <v/>
      </c>
      <c r="AD4" s="278" t="str">
        <f>IF(AA4&gt;Z4,3,IF(AA4&lt;Z4,0,IF(AA4="","",1)))</f>
        <v/>
      </c>
      <c r="AE4" s="279">
        <f>IF(AC4=3,1,0)</f>
        <v>0</v>
      </c>
      <c r="AF4" s="279">
        <f>IF(AC4=1,1,0)</f>
        <v>0</v>
      </c>
      <c r="AG4" s="279">
        <f>IF(AC4=0,1,0)</f>
        <v>0</v>
      </c>
      <c r="AH4" s="279">
        <f>IF(AD4=3,1,0)</f>
        <v>0</v>
      </c>
      <c r="AI4" s="279">
        <f>IF(AD4=1,1,0)</f>
        <v>0</v>
      </c>
      <c r="AJ4" s="279">
        <f>IF(AD4=0,1,0)</f>
        <v>0</v>
      </c>
      <c r="AL4" s="283" t="str">
        <f>'Proposte d''Acquisto'!B8</f>
        <v>RICCARDO</v>
      </c>
      <c r="AM4" s="278" t="str">
        <f>IF(AU4&gt;AV4,3,IF(AU4&lt;AV4,0,IF(AU4="","",1)))</f>
        <v/>
      </c>
      <c r="AN4" s="278" t="str">
        <f>IF(AV4&gt;AU4,3,IF(AV4&lt;AU4,0,IF(AV4="","",1)))</f>
        <v/>
      </c>
      <c r="AO4" s="279">
        <f>IF(AM4=3,1,0)</f>
        <v>0</v>
      </c>
      <c r="AP4" s="279">
        <f>IF(AM4=1,1,0)</f>
        <v>0</v>
      </c>
      <c r="AQ4" s="279">
        <f>IF(AM4=0,1,0)</f>
        <v>0</v>
      </c>
      <c r="AR4" s="279">
        <f>IF(AN4=3,1,0)</f>
        <v>0</v>
      </c>
      <c r="AS4" s="279">
        <f>IF(AN4=1,1,0)</f>
        <v>0</v>
      </c>
      <c r="AT4" s="279">
        <f>IF(AN4=0,1,0)</f>
        <v>0</v>
      </c>
      <c r="AU4" s="275"/>
      <c r="AV4" s="276"/>
      <c r="AX4" s="469"/>
      <c r="AY4" s="469"/>
      <c r="AZ4" s="469"/>
      <c r="BA4" s="469"/>
      <c r="BB4" s="469"/>
      <c r="BC4" s="469"/>
      <c r="BD4" s="469"/>
      <c r="BE4" s="469"/>
      <c r="BF4" s="469"/>
      <c r="BG4" s="469"/>
      <c r="BH4" s="469"/>
      <c r="BI4" s="469"/>
      <c r="BJ4" s="469"/>
      <c r="BW4" s="306"/>
      <c r="BX4" s="307"/>
      <c r="BY4" s="308"/>
    </row>
    <row r="5" spans="1:77" ht="11.9" customHeight="1" x14ac:dyDescent="0.25">
      <c r="B5" s="280"/>
      <c r="C5" s="281"/>
      <c r="D5" s="282" t="str">
        <f>'Proposte d''Acquisto'!B13</f>
        <v>FABRIZIO</v>
      </c>
      <c r="E5" s="278" t="str">
        <f>IF(B5&gt;C5,3,IF(B5&lt;C5,0,IF(B5="","",1)))</f>
        <v/>
      </c>
      <c r="F5" s="278" t="str">
        <f>IF(C5&gt;B5,3,IF(C5&lt;B5,0,IF(C5="","",1)))</f>
        <v/>
      </c>
      <c r="G5" s="279">
        <f>IF(E5=3,1,0)</f>
        <v>0</v>
      </c>
      <c r="H5" s="279">
        <f>IF(E5=1,1,0)</f>
        <v>0</v>
      </c>
      <c r="I5" s="279">
        <f>IF(E5=0,1,0)</f>
        <v>0</v>
      </c>
      <c r="J5" s="279">
        <f>IF(F5=3,1,0)</f>
        <v>0</v>
      </c>
      <c r="K5" s="279">
        <f>IF(F5=1,1,0)</f>
        <v>0</v>
      </c>
      <c r="L5" s="279">
        <f>IF(F5=0,1,0)</f>
        <v>0</v>
      </c>
      <c r="M5" s="298"/>
      <c r="N5" s="282" t="str">
        <f>'Proposte d''Acquisto'!B38</f>
        <v>DARIO</v>
      </c>
      <c r="O5" s="278" t="str">
        <f>IF(W5&gt;X5,3,IF(W5&lt;X5,0,IF(W5="","",1)))</f>
        <v/>
      </c>
      <c r="P5" s="278" t="str">
        <f>IF(X5&gt;W5,3,IF(X5&lt;W5,0,IF(X5="","",1)))</f>
        <v/>
      </c>
      <c r="Q5" s="279">
        <f>IF(O5=3,1,0)</f>
        <v>0</v>
      </c>
      <c r="R5" s="279">
        <f>IF(O5=1,1,0)</f>
        <v>0</v>
      </c>
      <c r="S5" s="279">
        <f>IF(O5=0,1,0)</f>
        <v>0</v>
      </c>
      <c r="T5" s="279">
        <f>IF(P5=3,1,0)</f>
        <v>0</v>
      </c>
      <c r="U5" s="279">
        <f>IF(P5=1,1,0)</f>
        <v>0</v>
      </c>
      <c r="V5" s="279">
        <f>IF(P5=0,1,0)</f>
        <v>0</v>
      </c>
      <c r="W5" s="280"/>
      <c r="X5" s="281"/>
      <c r="Z5" s="280"/>
      <c r="AA5" s="281"/>
      <c r="AB5" s="282" t="str">
        <f>'Proposte d''Acquisto'!B13</f>
        <v>FABRIZIO</v>
      </c>
      <c r="AC5" s="278" t="str">
        <f>IF(Z5&gt;AA5,3,IF(Z5&lt;AA5,0,IF(Z5="","",1)))</f>
        <v/>
      </c>
      <c r="AD5" s="278" t="str">
        <f>IF(AA5&gt;Z5,3,IF(AA5&lt;Z5,0,IF(AA5="","",1)))</f>
        <v/>
      </c>
      <c r="AE5" s="279">
        <f>IF(AC5=3,1,0)</f>
        <v>0</v>
      </c>
      <c r="AF5" s="279">
        <f>IF(AC5=1,1,0)</f>
        <v>0</v>
      </c>
      <c r="AG5" s="279">
        <f>IF(AC5=0,1,0)</f>
        <v>0</v>
      </c>
      <c r="AH5" s="279">
        <f>IF(AD5=3,1,0)</f>
        <v>0</v>
      </c>
      <c r="AI5" s="279">
        <f>IF(AD5=1,1,0)</f>
        <v>0</v>
      </c>
      <c r="AJ5" s="279">
        <f>IF(AD5=0,1,0)</f>
        <v>0</v>
      </c>
      <c r="AK5" s="298"/>
      <c r="AL5" s="282" t="str">
        <f>'Proposte d''Acquisto'!B38</f>
        <v>DARIO</v>
      </c>
      <c r="AM5" s="278" t="str">
        <f>IF(AU5&gt;AV5,3,IF(AU5&lt;AV5,0,IF(AU5="","",1)))</f>
        <v/>
      </c>
      <c r="AN5" s="278" t="str">
        <f>IF(AV5&gt;AU5,3,IF(AV5&lt;AU5,0,IF(AV5="","",1)))</f>
        <v/>
      </c>
      <c r="AO5" s="279">
        <f>IF(AM5=3,1,0)</f>
        <v>0</v>
      </c>
      <c r="AP5" s="279">
        <f>IF(AM5=1,1,0)</f>
        <v>0</v>
      </c>
      <c r="AQ5" s="279">
        <f>IF(AM5=0,1,0)</f>
        <v>0</v>
      </c>
      <c r="AR5" s="279">
        <f>IF(AN5=3,1,0)</f>
        <v>0</v>
      </c>
      <c r="AS5" s="279">
        <f>IF(AN5=1,1,0)</f>
        <v>0</v>
      </c>
      <c r="AT5" s="279">
        <f>IF(AN5=0,1,0)</f>
        <v>0</v>
      </c>
      <c r="AU5" s="280"/>
      <c r="AV5" s="281"/>
      <c r="AX5" s="322" t="s">
        <v>4</v>
      </c>
      <c r="AY5" s="323" t="s">
        <v>5</v>
      </c>
      <c r="AZ5" s="324" t="s">
        <v>6</v>
      </c>
      <c r="BA5" s="325" t="s">
        <v>7</v>
      </c>
      <c r="BB5" s="326" t="s">
        <v>8</v>
      </c>
      <c r="BC5" s="327" t="s">
        <v>9</v>
      </c>
      <c r="BD5" s="328" t="s">
        <v>10</v>
      </c>
      <c r="BE5" s="329" t="s">
        <v>11</v>
      </c>
      <c r="BF5" s="330" t="s">
        <v>12</v>
      </c>
      <c r="BG5" s="331" t="s">
        <v>248</v>
      </c>
      <c r="BH5" s="332" t="s">
        <v>13</v>
      </c>
      <c r="BI5" s="333" t="s">
        <v>14</v>
      </c>
      <c r="BJ5" s="334" t="s">
        <v>15</v>
      </c>
      <c r="BK5" s="303" t="s">
        <v>16</v>
      </c>
      <c r="BW5" s="465"/>
      <c r="BX5" s="464"/>
      <c r="BY5" s="308"/>
    </row>
    <row r="6" spans="1:77" ht="11.9" customHeight="1" x14ac:dyDescent="0.25">
      <c r="B6" s="275"/>
      <c r="C6" s="276"/>
      <c r="D6" s="283" t="str">
        <f>'Proposte d''Acquisto'!B23</f>
        <v>MOLINA</v>
      </c>
      <c r="E6" s="278" t="str">
        <f>IF(B6&gt;C6,3,IF(B6&lt;C6,0,IF(B6="","",1)))</f>
        <v/>
      </c>
      <c r="F6" s="278" t="str">
        <f>IF(C6&gt;B6,3,IF(C6&lt;B6,0,IF(C6="","",1)))</f>
        <v/>
      </c>
      <c r="G6" s="279">
        <f>IF(E6=3,1,0)</f>
        <v>0</v>
      </c>
      <c r="H6" s="279">
        <f>IF(E6=1,1,0)</f>
        <v>0</v>
      </c>
      <c r="I6" s="279">
        <f>IF(E6=0,1,0)</f>
        <v>0</v>
      </c>
      <c r="J6" s="279">
        <f>IF(F6=3,1,0)</f>
        <v>0</v>
      </c>
      <c r="K6" s="279">
        <f>IF(F6=1,1,0)</f>
        <v>0</v>
      </c>
      <c r="L6" s="279">
        <f>IF(F6=0,1,0)</f>
        <v>0</v>
      </c>
      <c r="N6" s="283" t="str">
        <f>'Proposte d''Acquisto'!B28</f>
        <v>EUGENIO</v>
      </c>
      <c r="O6" s="278" t="str">
        <f>IF(W6&gt;X6,3,IF(W6&lt;X6,0,IF(W6="","",1)))</f>
        <v/>
      </c>
      <c r="P6" s="278" t="str">
        <f>IF(X6&gt;W6,3,IF(X6&lt;W6,0,IF(X6="","",1)))</f>
        <v/>
      </c>
      <c r="Q6" s="279">
        <f>IF(O6=3,1,0)</f>
        <v>0</v>
      </c>
      <c r="R6" s="279">
        <f>IF(O6=1,1,0)</f>
        <v>0</v>
      </c>
      <c r="S6" s="279">
        <f>IF(O6=0,1,0)</f>
        <v>0</v>
      </c>
      <c r="T6" s="279">
        <f>IF(P6=3,1,0)</f>
        <v>0</v>
      </c>
      <c r="U6" s="279">
        <f>IF(P6=1,1,0)</f>
        <v>0</v>
      </c>
      <c r="V6" s="279">
        <f>IF(P6=0,1,0)</f>
        <v>0</v>
      </c>
      <c r="W6" s="275"/>
      <c r="X6" s="276"/>
      <c r="Z6" s="275"/>
      <c r="AA6" s="276"/>
      <c r="AB6" s="283" t="str">
        <f>'Proposte d''Acquisto'!B23</f>
        <v>MOLINA</v>
      </c>
      <c r="AC6" s="278" t="str">
        <f>IF(Z6&gt;AA6,3,IF(Z6&lt;AA6,0,IF(Z6="","",1)))</f>
        <v/>
      </c>
      <c r="AD6" s="278" t="str">
        <f>IF(AA6&gt;Z6,3,IF(AA6&lt;Z6,0,IF(AA6="","",1)))</f>
        <v/>
      </c>
      <c r="AE6" s="279">
        <f>IF(AC6=3,1,0)</f>
        <v>0</v>
      </c>
      <c r="AF6" s="279">
        <f>IF(AC6=1,1,0)</f>
        <v>0</v>
      </c>
      <c r="AG6" s="279">
        <f>IF(AC6=0,1,0)</f>
        <v>0</v>
      </c>
      <c r="AH6" s="279">
        <f>IF(AD6=3,1,0)</f>
        <v>0</v>
      </c>
      <c r="AI6" s="279">
        <f>IF(AD6=1,1,0)</f>
        <v>0</v>
      </c>
      <c r="AJ6" s="279">
        <f>IF(AD6=0,1,0)</f>
        <v>0</v>
      </c>
      <c r="AL6" s="283" t="str">
        <f>'Proposte d''Acquisto'!B28</f>
        <v>EUGENIO</v>
      </c>
      <c r="AM6" s="278" t="str">
        <f>IF(AU6&gt;AV6,3,IF(AU6&lt;AV6,0,IF(AU6="","",1)))</f>
        <v/>
      </c>
      <c r="AN6" s="278" t="str">
        <f>IF(AV6&gt;AU6,3,IF(AV6&lt;AU6,0,IF(AV6="","",1)))</f>
        <v/>
      </c>
      <c r="AO6" s="279">
        <f>IF(AM6=3,1,0)</f>
        <v>0</v>
      </c>
      <c r="AP6" s="279">
        <f>IF(AM6=1,1,0)</f>
        <v>0</v>
      </c>
      <c r="AQ6" s="279">
        <f>IF(AM6=0,1,0)</f>
        <v>0</v>
      </c>
      <c r="AR6" s="279">
        <f>IF(AN6=3,1,0)</f>
        <v>0</v>
      </c>
      <c r="AS6" s="279">
        <f>IF(AN6=1,1,0)</f>
        <v>0</v>
      </c>
      <c r="AT6" s="279">
        <f>IF(AN6=0,1,0)</f>
        <v>0</v>
      </c>
      <c r="AU6" s="275"/>
      <c r="AV6" s="276"/>
      <c r="AX6" s="437" t="s">
        <v>256</v>
      </c>
      <c r="AY6" s="439">
        <f>AZ6*3+BA6</f>
        <v>0</v>
      </c>
      <c r="AZ6" s="441"/>
      <c r="BA6" s="443"/>
      <c r="BB6" s="445"/>
      <c r="BC6" s="447">
        <f>SUM(AZ6,BA6,BB6)</f>
        <v>0</v>
      </c>
      <c r="BD6" s="449"/>
      <c r="BE6" s="451"/>
      <c r="BF6" s="453">
        <f>SUM(BD6-BE6)</f>
        <v>0</v>
      </c>
      <c r="BG6" s="455">
        <f>IF(BH6="*",0,SUM(BB6*Premi!H5+BA6*Premi!H4))</f>
        <v>0</v>
      </c>
      <c r="BH6" s="457"/>
      <c r="BI6" s="459">
        <f>SUM($E$5,$O$5,$AC$5,$AM$5,$E$12,$O$12,$AC$12,$AM$12,$F$18,$P$18,$AD$18,$AN$18,$F$26,$P$26,$AD$26,$AN$26,$E$32,$O$32,$AC$32,$AM$32,$F$40,$P$40,$AD$40,$AN$40,$E$47,$O$47,$AC$47,$AM$47)</f>
        <v>0</v>
      </c>
      <c r="BJ6" s="462">
        <v>0</v>
      </c>
      <c r="BK6" s="461">
        <f>(BF6*1000)+BD6</f>
        <v>0</v>
      </c>
      <c r="BW6" s="465"/>
      <c r="BX6" s="466"/>
      <c r="BY6" s="308"/>
    </row>
    <row r="7" spans="1:77" ht="11.9" customHeight="1" x14ac:dyDescent="0.25">
      <c r="B7" s="284"/>
      <c r="C7" s="285"/>
      <c r="D7" s="286" t="str">
        <f>'Proposte d''Acquisto'!B33</f>
        <v>VINCENZO</v>
      </c>
      <c r="E7" s="287" t="str">
        <f>IF(B7&gt;C7,3,IF(B7&lt;C7,0,IF(B7="","",1)))</f>
        <v/>
      </c>
      <c r="F7" s="287" t="str">
        <f>IF(C7&gt;B7,3,IF(C7&lt;B7,0,IF(C7="","",1)))</f>
        <v/>
      </c>
      <c r="G7" s="288">
        <f>IF(E7=3,1,0)</f>
        <v>0</v>
      </c>
      <c r="H7" s="288">
        <f>IF(E7=1,1,0)</f>
        <v>0</v>
      </c>
      <c r="I7" s="288">
        <f>IF(E7=0,1,0)</f>
        <v>0</v>
      </c>
      <c r="J7" s="288">
        <f>IF(F7=3,1,0)</f>
        <v>0</v>
      </c>
      <c r="K7" s="288">
        <f>IF(F7=1,1,0)</f>
        <v>0</v>
      </c>
      <c r="L7" s="288">
        <f>IF(F7=0,1,0)</f>
        <v>0</v>
      </c>
      <c r="M7" s="299"/>
      <c r="N7" s="290" t="str">
        <f>'Proposte d''Acquisto'!B18</f>
        <v>DANIELE</v>
      </c>
      <c r="O7" s="287" t="str">
        <f>IF(W7&gt;X7,3,IF(W7&lt;X7,0,IF(W7="","",1)))</f>
        <v/>
      </c>
      <c r="P7" s="287" t="str">
        <f>IF(X7&gt;W7,3,IF(X7&lt;W7,0,IF(X7="","",1)))</f>
        <v/>
      </c>
      <c r="Q7" s="288">
        <f>IF(O7=3,1,0)</f>
        <v>0</v>
      </c>
      <c r="R7" s="288">
        <f>IF(O7=1,1,0)</f>
        <v>0</v>
      </c>
      <c r="S7" s="288">
        <f>IF(O7=0,1,0)</f>
        <v>0</v>
      </c>
      <c r="T7" s="288">
        <f>IF(P7=3,1,0)</f>
        <v>0</v>
      </c>
      <c r="U7" s="288">
        <f>IF(P7=1,1,0)</f>
        <v>0</v>
      </c>
      <c r="V7" s="288">
        <f>IF(P7=0,1,0)</f>
        <v>0</v>
      </c>
      <c r="W7" s="284"/>
      <c r="X7" s="285"/>
      <c r="Z7" s="284"/>
      <c r="AA7" s="285"/>
      <c r="AB7" s="286" t="str">
        <f>'Proposte d''Acquisto'!B33</f>
        <v>VINCENZO</v>
      </c>
      <c r="AC7" s="287" t="str">
        <f>IF(Z7&gt;AA7,3,IF(Z7&lt;AA7,0,IF(Z7="","",1)))</f>
        <v/>
      </c>
      <c r="AD7" s="287" t="str">
        <f>IF(AA7&gt;Z7,3,IF(AA7&lt;Z7,0,IF(AA7="","",1)))</f>
        <v/>
      </c>
      <c r="AE7" s="288">
        <f>IF(AC7=3,1,0)</f>
        <v>0</v>
      </c>
      <c r="AF7" s="288">
        <f>IF(AC7=1,1,0)</f>
        <v>0</v>
      </c>
      <c r="AG7" s="288">
        <f>IF(AC7=0,1,0)</f>
        <v>0</v>
      </c>
      <c r="AH7" s="288">
        <f>IF(AD7=3,1,0)</f>
        <v>0</v>
      </c>
      <c r="AI7" s="288">
        <f>IF(AD7=1,1,0)</f>
        <v>0</v>
      </c>
      <c r="AJ7" s="288">
        <f>IF(AD7=0,1,0)</f>
        <v>0</v>
      </c>
      <c r="AK7" s="299"/>
      <c r="AL7" s="290" t="str">
        <f>'Proposte d''Acquisto'!B18</f>
        <v>DANIELE</v>
      </c>
      <c r="AM7" s="287" t="str">
        <f>IF(AU7&gt;AV7,3,IF(AU7&lt;AV7,0,IF(AU7="","",1)))</f>
        <v/>
      </c>
      <c r="AN7" s="287" t="str">
        <f>IF(AV7&gt;AU7,3,IF(AV7&lt;AU7,0,IF(AV7="","",1)))</f>
        <v/>
      </c>
      <c r="AO7" s="288">
        <f>IF(AM7=3,1,0)</f>
        <v>0</v>
      </c>
      <c r="AP7" s="288">
        <f>IF(AM7=1,1,0)</f>
        <v>0</v>
      </c>
      <c r="AQ7" s="288">
        <f>IF(AM7=0,1,0)</f>
        <v>0</v>
      </c>
      <c r="AR7" s="288">
        <f>IF(AN7=3,1,0)</f>
        <v>0</v>
      </c>
      <c r="AS7" s="288">
        <f>IF(AN7=1,1,0)</f>
        <v>0</v>
      </c>
      <c r="AT7" s="288">
        <f>IF(AN7=0,1,0)</f>
        <v>0</v>
      </c>
      <c r="AU7" s="284"/>
      <c r="AV7" s="285"/>
      <c r="AX7" s="438"/>
      <c r="AY7" s="440"/>
      <c r="AZ7" s="442"/>
      <c r="BA7" s="444"/>
      <c r="BB7" s="446"/>
      <c r="BC7" s="448"/>
      <c r="BD7" s="450"/>
      <c r="BE7" s="452"/>
      <c r="BF7" s="454"/>
      <c r="BG7" s="456"/>
      <c r="BH7" s="458"/>
      <c r="BI7" s="460"/>
      <c r="BJ7" s="463"/>
      <c r="BK7" s="461"/>
      <c r="BW7" s="465"/>
      <c r="BX7" s="464"/>
      <c r="BY7" s="308"/>
    </row>
    <row r="8" spans="1:77" ht="11.9" customHeight="1" x14ac:dyDescent="0.25">
      <c r="A8" s="289"/>
      <c r="N8" s="300"/>
      <c r="Y8" s="289"/>
      <c r="AX8" s="437" t="s">
        <v>259</v>
      </c>
      <c r="AY8" s="439">
        <f>AZ8*3+BA8</f>
        <v>0</v>
      </c>
      <c r="AZ8" s="441"/>
      <c r="BA8" s="443"/>
      <c r="BB8" s="445"/>
      <c r="BC8" s="447">
        <f>SUM(AZ8,BA8,BB8)</f>
        <v>0</v>
      </c>
      <c r="BD8" s="449"/>
      <c r="BE8" s="451"/>
      <c r="BF8" s="453">
        <f>SUM(BD8-BE8)</f>
        <v>0</v>
      </c>
      <c r="BG8" s="455">
        <f>IF(BH8="*",0,SUM(BB8*Premi!H5+BA8*Premi!H4))</f>
        <v>0</v>
      </c>
      <c r="BH8" s="457"/>
      <c r="BI8" s="459">
        <f>SUM($F$4,$P$4,$AD$4,$AN$4,$E$11,$O$11,$AC$11,$AM$11,$F$20,$P$20,$AD$20,$AN$20,$E$28,$O$28,$AC$28,$AM$28,$F$33,$P$33,$AD$33,$AN$33,$E$39,$O$39,$AC$39,$AM$39,$F$47,$P$47,$AD$47,$AN$47)</f>
        <v>0</v>
      </c>
      <c r="BJ8" s="462">
        <v>0</v>
      </c>
      <c r="BK8" s="461">
        <f>(BF8*1000)+BD8</f>
        <v>0</v>
      </c>
      <c r="BW8" s="465"/>
      <c r="BX8" s="466"/>
      <c r="BY8" s="308"/>
    </row>
    <row r="9" spans="1:77" ht="11.9" customHeight="1" x14ac:dyDescent="0.25">
      <c r="AX9" s="438"/>
      <c r="AY9" s="440"/>
      <c r="AZ9" s="442"/>
      <c r="BA9" s="444"/>
      <c r="BB9" s="446"/>
      <c r="BC9" s="448"/>
      <c r="BD9" s="450"/>
      <c r="BE9" s="452"/>
      <c r="BF9" s="454"/>
      <c r="BG9" s="456"/>
      <c r="BH9" s="458"/>
      <c r="BI9" s="460"/>
      <c r="BJ9" s="463"/>
      <c r="BK9" s="461"/>
      <c r="BW9" s="465"/>
      <c r="BX9" s="464"/>
      <c r="BY9" s="308"/>
    </row>
    <row r="10" spans="1:77" ht="11.9" customHeight="1" x14ac:dyDescent="0.25">
      <c r="B10" s="430" t="s">
        <v>0</v>
      </c>
      <c r="C10" s="434"/>
      <c r="D10" s="432" t="s">
        <v>17</v>
      </c>
      <c r="E10" s="432"/>
      <c r="F10" s="432"/>
      <c r="G10" s="432"/>
      <c r="H10" s="432"/>
      <c r="I10" s="432"/>
      <c r="J10" s="432"/>
      <c r="K10" s="432"/>
      <c r="L10" s="432"/>
      <c r="M10" s="432"/>
      <c r="N10" s="432"/>
      <c r="O10" s="297"/>
      <c r="P10" s="297"/>
      <c r="Q10" s="297"/>
      <c r="R10" s="297"/>
      <c r="S10" s="297"/>
      <c r="T10" s="297"/>
      <c r="U10" s="297"/>
      <c r="V10" s="297"/>
      <c r="W10" s="431" t="s">
        <v>2</v>
      </c>
      <c r="X10" s="435"/>
      <c r="Z10" s="430" t="s">
        <v>0</v>
      </c>
      <c r="AA10" s="436"/>
      <c r="AB10" s="432" t="s">
        <v>18</v>
      </c>
      <c r="AC10" s="432"/>
      <c r="AD10" s="432"/>
      <c r="AE10" s="432"/>
      <c r="AF10" s="432"/>
      <c r="AG10" s="432"/>
      <c r="AH10" s="432"/>
      <c r="AI10" s="432"/>
      <c r="AJ10" s="432"/>
      <c r="AK10" s="432"/>
      <c r="AL10" s="432"/>
      <c r="AM10" s="297"/>
      <c r="AN10" s="297"/>
      <c r="AO10" s="297"/>
      <c r="AP10" s="297"/>
      <c r="AQ10" s="297"/>
      <c r="AR10" s="297"/>
      <c r="AS10" s="297"/>
      <c r="AT10" s="297"/>
      <c r="AU10" s="431" t="s">
        <v>2</v>
      </c>
      <c r="AV10" s="435"/>
      <c r="AW10" s="274"/>
      <c r="AX10" s="437" t="s">
        <v>260</v>
      </c>
      <c r="AY10" s="439">
        <f>AZ10*3+BA10</f>
        <v>0</v>
      </c>
      <c r="AZ10" s="441"/>
      <c r="BA10" s="443"/>
      <c r="BB10" s="445"/>
      <c r="BC10" s="447">
        <f>SUM(AZ10,BA10,BB10)</f>
        <v>0</v>
      </c>
      <c r="BD10" s="449"/>
      <c r="BE10" s="451"/>
      <c r="BF10" s="453">
        <f>SUM(BD10-BE10)</f>
        <v>0</v>
      </c>
      <c r="BG10" s="455">
        <f>IF(BH10="*",0,SUM(BB10*Premi!H5+BA10*Premi!H4))</f>
        <v>0</v>
      </c>
      <c r="BH10" s="457"/>
      <c r="BI10" s="459">
        <f>SUM($F$6,$P$6,$AD$6,$AN$6,$F$11,$P$11,$AD$11,$AN$11,$E$21,$O$21,$AC$21,$AM$21,$E$26,$O$26,$AC$26,$AM$26,$F$35,$P$35,$AD$35,$AN$35,$E$42,$O$42,$AC$42,$AM$42,$F$46,$P$46,$AD$46,$AN$46)</f>
        <v>0</v>
      </c>
      <c r="BJ10" s="462">
        <v>0</v>
      </c>
      <c r="BK10" s="461">
        <f>(BF10*1000)+BD10</f>
        <v>0</v>
      </c>
      <c r="BW10" s="465"/>
      <c r="BX10" s="466"/>
      <c r="BY10" s="308"/>
    </row>
    <row r="11" spans="1:77" ht="11.9" customHeight="1" x14ac:dyDescent="0.25">
      <c r="B11" s="275"/>
      <c r="C11" s="276"/>
      <c r="D11" s="283" t="str">
        <f>'Proposte d''Acquisto'!B8</f>
        <v>RICCARDO</v>
      </c>
      <c r="E11" s="278" t="str">
        <f>IF(B11&gt;C11,3,IF(B11&lt;C11,0,IF(B11="","",1)))</f>
        <v/>
      </c>
      <c r="F11" s="278" t="str">
        <f>IF(C11&gt;B11,3,IF(C11&lt;B11,0,IF(C11="","",1)))</f>
        <v/>
      </c>
      <c r="G11" s="279">
        <f>IF(E11=3,1,0)</f>
        <v>0</v>
      </c>
      <c r="H11" s="279">
        <f>IF(E11=1,1,0)</f>
        <v>0</v>
      </c>
      <c r="I11" s="279">
        <f>IF(E11=0,1,0)</f>
        <v>0</v>
      </c>
      <c r="J11" s="279">
        <f>IF(F11=3,1,0)</f>
        <v>0</v>
      </c>
      <c r="K11" s="279">
        <f>IF(F11=1,1,0)</f>
        <v>0</v>
      </c>
      <c r="L11" s="279">
        <f>IF(F11=0,1,0)</f>
        <v>0</v>
      </c>
      <c r="N11" s="283" t="str">
        <f>'Proposte d''Acquisto'!B28</f>
        <v>EUGENIO</v>
      </c>
      <c r="O11" s="278" t="str">
        <f>IF(W11&gt;X11,3,IF(W11&lt;X11,0,IF(W11="","",1)))</f>
        <v/>
      </c>
      <c r="P11" s="278" t="str">
        <f>IF(X11&gt;W11,3,IF(X11&lt;W11,0,IF(X11="","",1)))</f>
        <v/>
      </c>
      <c r="Q11" s="279">
        <f>IF(O11=3,1,0)</f>
        <v>0</v>
      </c>
      <c r="R11" s="279">
        <f>IF(O11=1,1,0)</f>
        <v>0</v>
      </c>
      <c r="S11" s="279">
        <f>IF(O11=0,1,0)</f>
        <v>0</v>
      </c>
      <c r="T11" s="279">
        <f>IF(P11=3,1,0)</f>
        <v>0</v>
      </c>
      <c r="U11" s="279">
        <f>IF(P11=1,1,0)</f>
        <v>0</v>
      </c>
      <c r="V11" s="279">
        <f>IF(P11=0,1,0)</f>
        <v>0</v>
      </c>
      <c r="W11" s="275"/>
      <c r="X11" s="276"/>
      <c r="Z11" s="275"/>
      <c r="AA11" s="302"/>
      <c r="AB11" s="283" t="str">
        <f>'Proposte d''Acquisto'!B8</f>
        <v>RICCARDO</v>
      </c>
      <c r="AC11" s="278" t="str">
        <f>IF(Z11&gt;AA11,3,IF(Z11&lt;AA11,0,IF(Z11="","",1)))</f>
        <v/>
      </c>
      <c r="AD11" s="278" t="str">
        <f>IF(AA11&gt;Z11,3,IF(AA11&lt;Z11,0,IF(AA11="","",1)))</f>
        <v/>
      </c>
      <c r="AE11" s="279">
        <f>IF(AC11=3,1,0)</f>
        <v>0</v>
      </c>
      <c r="AF11" s="279">
        <f>IF(AC11=1,1,0)</f>
        <v>0</v>
      </c>
      <c r="AG11" s="279">
        <f>IF(AC11=0,1,0)</f>
        <v>0</v>
      </c>
      <c r="AH11" s="279">
        <f>IF(AD11=3,1,0)</f>
        <v>0</v>
      </c>
      <c r="AI11" s="279">
        <f>IF(AD11=1,1,0)</f>
        <v>0</v>
      </c>
      <c r="AJ11" s="279">
        <f>IF(AD11=0,1,0)</f>
        <v>0</v>
      </c>
      <c r="AL11" s="283" t="str">
        <f>'Proposte d''Acquisto'!B28</f>
        <v>EUGENIO</v>
      </c>
      <c r="AM11" s="278" t="str">
        <f>IF(AU11&gt;AV11,3,IF(AU11&lt;AV11,0,IF(AU11="","",1)))</f>
        <v/>
      </c>
      <c r="AN11" s="278" t="str">
        <f>IF(AV11&gt;AU11,3,IF(AV11&lt;AU11,0,IF(AV11="","",1)))</f>
        <v/>
      </c>
      <c r="AO11" s="279">
        <f>IF(AM11=3,1,0)</f>
        <v>0</v>
      </c>
      <c r="AP11" s="279">
        <f>IF(AM11=1,1,0)</f>
        <v>0</v>
      </c>
      <c r="AQ11" s="279">
        <f>IF(AM11=0,1,0)</f>
        <v>0</v>
      </c>
      <c r="AR11" s="279">
        <f>IF(AN11=3,1,0)</f>
        <v>0</v>
      </c>
      <c r="AS11" s="279">
        <f>IF(AN11=1,1,0)</f>
        <v>0</v>
      </c>
      <c r="AT11" s="279">
        <f>IF(AN11=0,1,0)</f>
        <v>0</v>
      </c>
      <c r="AU11" s="275"/>
      <c r="AV11" s="276"/>
      <c r="AW11" s="274"/>
      <c r="AX11" s="438"/>
      <c r="AY11" s="440"/>
      <c r="AZ11" s="442"/>
      <c r="BA11" s="444"/>
      <c r="BB11" s="446"/>
      <c r="BC11" s="448"/>
      <c r="BD11" s="450"/>
      <c r="BE11" s="452"/>
      <c r="BF11" s="454"/>
      <c r="BG11" s="456"/>
      <c r="BH11" s="458"/>
      <c r="BI11" s="460"/>
      <c r="BJ11" s="463"/>
      <c r="BK11" s="461"/>
      <c r="BW11" s="465"/>
      <c r="BX11" s="464"/>
      <c r="BY11" s="308"/>
    </row>
    <row r="12" spans="1:77" ht="11.9" customHeight="1" x14ac:dyDescent="0.25">
      <c r="B12" s="280"/>
      <c r="C12" s="281"/>
      <c r="D12" s="282" t="str">
        <f>'Proposte d''Acquisto'!B13</f>
        <v>FABRIZIO</v>
      </c>
      <c r="E12" s="278" t="str">
        <f>IF(B12&gt;C12,3,IF(B12&lt;C12,0,IF(B12="","",1)))</f>
        <v/>
      </c>
      <c r="F12" s="278" t="str">
        <f>IF(C12&gt;B12,3,IF(C12&lt;B12,0,IF(C12="","",1)))</f>
        <v/>
      </c>
      <c r="G12" s="279">
        <f>IF(E12=3,1,0)</f>
        <v>0</v>
      </c>
      <c r="H12" s="279">
        <f>IF(E12=1,1,0)</f>
        <v>0</v>
      </c>
      <c r="I12" s="279">
        <f>IF(E12=0,1,0)</f>
        <v>0</v>
      </c>
      <c r="J12" s="279">
        <f>IF(F12=3,1,0)</f>
        <v>0</v>
      </c>
      <c r="K12" s="279">
        <f>IF(F12=1,1,0)</f>
        <v>0</v>
      </c>
      <c r="L12" s="279">
        <f>IF(F12=0,1,0)</f>
        <v>0</v>
      </c>
      <c r="M12" s="298"/>
      <c r="N12" s="282" t="str">
        <f>'Proposte d''Acquisto'!B33</f>
        <v>VINCENZO</v>
      </c>
      <c r="O12" s="278" t="str">
        <f>IF(W12&gt;X12,3,IF(W12&lt;X12,0,IF(W12="","",1)))</f>
        <v/>
      </c>
      <c r="P12" s="278" t="str">
        <f>IF(X12&gt;W12,3,IF(X12&lt;W12,0,IF(X12="","",1)))</f>
        <v/>
      </c>
      <c r="Q12" s="279">
        <f>IF(O12=3,1,0)</f>
        <v>0</v>
      </c>
      <c r="R12" s="279">
        <f>IF(O12=1,1,0)</f>
        <v>0</v>
      </c>
      <c r="S12" s="279">
        <f>IF(O12=0,1,0)</f>
        <v>0</v>
      </c>
      <c r="T12" s="279">
        <f>IF(P12=3,1,0)</f>
        <v>0</v>
      </c>
      <c r="U12" s="279">
        <f>IF(P12=1,1,0)</f>
        <v>0</v>
      </c>
      <c r="V12" s="279">
        <f>IF(P12=0,1,0)</f>
        <v>0</v>
      </c>
      <c r="W12" s="280"/>
      <c r="X12" s="281"/>
      <c r="Z12" s="280"/>
      <c r="AA12" s="281"/>
      <c r="AB12" s="282" t="str">
        <f>'Proposte d''Acquisto'!B13</f>
        <v>FABRIZIO</v>
      </c>
      <c r="AC12" s="278" t="str">
        <f>IF(Z12&gt;AA12,3,IF(Z12&lt;AA12,0,IF(Z12="","",1)))</f>
        <v/>
      </c>
      <c r="AD12" s="278" t="str">
        <f>IF(AA12&gt;Z12,3,IF(AA12&lt;Z12,0,IF(AA12="","",1)))</f>
        <v/>
      </c>
      <c r="AE12" s="279">
        <f>IF(AC12=3,1,0)</f>
        <v>0</v>
      </c>
      <c r="AF12" s="279">
        <f>IF(AC12=1,1,0)</f>
        <v>0</v>
      </c>
      <c r="AG12" s="279">
        <f>IF(AC12=0,1,0)</f>
        <v>0</v>
      </c>
      <c r="AH12" s="279">
        <f>IF(AD12=3,1,0)</f>
        <v>0</v>
      </c>
      <c r="AI12" s="279">
        <f>IF(AD12=1,1,0)</f>
        <v>0</v>
      </c>
      <c r="AJ12" s="279">
        <f>IF(AD12=0,1,0)</f>
        <v>0</v>
      </c>
      <c r="AK12" s="298"/>
      <c r="AL12" s="282" t="str">
        <f>'Proposte d''Acquisto'!B33</f>
        <v>VINCENZO</v>
      </c>
      <c r="AM12" s="278" t="str">
        <f>IF(AU12&gt;AV12,3,IF(AU12&lt;AV12,0,IF(AU12="","",1)))</f>
        <v/>
      </c>
      <c r="AN12" s="278" t="str">
        <f>IF(AV12&gt;AU12,3,IF(AV12&lt;AU12,0,IF(AV12="","",1)))</f>
        <v/>
      </c>
      <c r="AO12" s="279">
        <f>IF(AM12=3,1,0)</f>
        <v>0</v>
      </c>
      <c r="AP12" s="279">
        <f>IF(AM12=1,1,0)</f>
        <v>0</v>
      </c>
      <c r="AQ12" s="279">
        <f>IF(AM12=0,1,0)</f>
        <v>0</v>
      </c>
      <c r="AR12" s="279">
        <f>IF(AN12=3,1,0)</f>
        <v>0</v>
      </c>
      <c r="AS12" s="279">
        <f>IF(AN12=1,1,0)</f>
        <v>0</v>
      </c>
      <c r="AT12" s="279">
        <f>IF(AN12=0,1,0)</f>
        <v>0</v>
      </c>
      <c r="AU12" s="280"/>
      <c r="AV12" s="281"/>
      <c r="AX12" s="437" t="s">
        <v>254</v>
      </c>
      <c r="AY12" s="439">
        <f>AZ12*3+BA12</f>
        <v>0</v>
      </c>
      <c r="AZ12" s="441"/>
      <c r="BA12" s="443"/>
      <c r="BB12" s="445"/>
      <c r="BC12" s="447">
        <f>SUM(AZ12,BA12,BB12)</f>
        <v>0</v>
      </c>
      <c r="BD12" s="449"/>
      <c r="BE12" s="451"/>
      <c r="BF12" s="453">
        <f>SUM(BD12-BE12)</f>
        <v>0</v>
      </c>
      <c r="BG12" s="455">
        <f>IF(BH12="*",0,SUM(BB12*Premi!H5+BA12*Premi!H4))</f>
        <v>0</v>
      </c>
      <c r="BH12" s="457"/>
      <c r="BI12" s="459">
        <f>SUM($F$7,$P$7,$AD$7,$AN$7,$E$14,$O$14,$AC$14,$AM$14,$F$19,$P$19,$AD$19,$AN$19,$E$27,$O$27,$AC$27,$AM$27,$F$32,$P$32,$AD$32,$AN$32,$F$39,$P$39,$AD$39,$AN$39,$E$46,$O$46,$AC$46,$AM$46)</f>
        <v>0</v>
      </c>
      <c r="BJ12" s="462">
        <v>0</v>
      </c>
      <c r="BK12" s="461">
        <f>(BF12*1000)+BD12</f>
        <v>0</v>
      </c>
      <c r="BW12" s="465"/>
      <c r="BX12" s="466"/>
      <c r="BY12" s="308"/>
    </row>
    <row r="13" spans="1:77" ht="11.9" customHeight="1" x14ac:dyDescent="0.25">
      <c r="B13" s="275"/>
      <c r="C13" s="276"/>
      <c r="D13" s="283" t="str">
        <f>'Proposte d''Acquisto'!B38</f>
        <v>DARIO</v>
      </c>
      <c r="E13" s="278" t="str">
        <f>IF(B13&gt;C13,3,IF(B13&lt;C13,0,IF(B13="","",1)))</f>
        <v/>
      </c>
      <c r="F13" s="278" t="str">
        <f>IF(C13&gt;B13,3,IF(C13&lt;B13,0,IF(C13="","",1)))</f>
        <v/>
      </c>
      <c r="G13" s="279">
        <f>IF(E13=3,1,0)</f>
        <v>0</v>
      </c>
      <c r="H13" s="279">
        <f>IF(E13=1,1,0)</f>
        <v>0</v>
      </c>
      <c r="I13" s="279">
        <f>IF(E13=0,1,0)</f>
        <v>0</v>
      </c>
      <c r="J13" s="279">
        <f>IF(F13=3,1,0)</f>
        <v>0</v>
      </c>
      <c r="K13" s="279">
        <f>IF(F13=1,1,0)</f>
        <v>0</v>
      </c>
      <c r="L13" s="279">
        <f>IF(F13=0,1,0)</f>
        <v>0</v>
      </c>
      <c r="N13" s="283" t="str">
        <f>'Proposte d''Acquisto'!B23</f>
        <v>MOLINA</v>
      </c>
      <c r="O13" s="278" t="str">
        <f>IF(W13&gt;X13,3,IF(W13&lt;X13,0,IF(W13="","",1)))</f>
        <v/>
      </c>
      <c r="P13" s="278" t="str">
        <f>IF(X13&gt;W13,3,IF(X13&lt;W13,0,IF(X13="","",1)))</f>
        <v/>
      </c>
      <c r="Q13" s="279">
        <f>IF(O13=3,1,0)</f>
        <v>0</v>
      </c>
      <c r="R13" s="279">
        <f>IF(O13=1,1,0)</f>
        <v>0</v>
      </c>
      <c r="S13" s="279">
        <f>IF(O13=0,1,0)</f>
        <v>0</v>
      </c>
      <c r="T13" s="279">
        <f>IF(P13=3,1,0)</f>
        <v>0</v>
      </c>
      <c r="U13" s="279">
        <f>IF(P13=1,1,0)</f>
        <v>0</v>
      </c>
      <c r="V13" s="279">
        <f>IF(P13=0,1,0)</f>
        <v>0</v>
      </c>
      <c r="W13" s="275"/>
      <c r="X13" s="276"/>
      <c r="Z13" s="275"/>
      <c r="AA13" s="276"/>
      <c r="AB13" s="283" t="str">
        <f>'Proposte d''Acquisto'!B38</f>
        <v>DARIO</v>
      </c>
      <c r="AC13" s="278" t="str">
        <f>IF(Z13&gt;AA13,3,IF(Z13&lt;AA13,0,IF(Z13="","",1)))</f>
        <v/>
      </c>
      <c r="AD13" s="278" t="str">
        <f>IF(AA13&gt;Z13,3,IF(AA13&lt;Z13,0,IF(AA13="","",1)))</f>
        <v/>
      </c>
      <c r="AE13" s="279">
        <f>IF(AC13=3,1,0)</f>
        <v>0</v>
      </c>
      <c r="AF13" s="279">
        <f>IF(AC13=1,1,0)</f>
        <v>0</v>
      </c>
      <c r="AG13" s="279">
        <f>IF(AC13=0,1,0)</f>
        <v>0</v>
      </c>
      <c r="AH13" s="279">
        <f>IF(AD13=3,1,0)</f>
        <v>0</v>
      </c>
      <c r="AI13" s="279">
        <f>IF(AD13=1,1,0)</f>
        <v>0</v>
      </c>
      <c r="AJ13" s="279">
        <f>IF(AD13=0,1,0)</f>
        <v>0</v>
      </c>
      <c r="AL13" s="283" t="str">
        <f>'Proposte d''Acquisto'!B23</f>
        <v>MOLINA</v>
      </c>
      <c r="AM13" s="278" t="str">
        <f>IF(AU13&gt;AV13,3,IF(AU13&lt;AV13,0,IF(AU13="","",1)))</f>
        <v/>
      </c>
      <c r="AN13" s="278" t="str">
        <f>IF(AV13&gt;AU13,3,IF(AV13&lt;AU13,0,IF(AV13="","",1)))</f>
        <v/>
      </c>
      <c r="AO13" s="279">
        <f>IF(AM13=3,1,0)</f>
        <v>0</v>
      </c>
      <c r="AP13" s="279">
        <f>IF(AM13=1,1,0)</f>
        <v>0</v>
      </c>
      <c r="AQ13" s="279">
        <f>IF(AM13=0,1,0)</f>
        <v>0</v>
      </c>
      <c r="AR13" s="279">
        <f>IF(AN13=3,1,0)</f>
        <v>0</v>
      </c>
      <c r="AS13" s="279">
        <f>IF(AN13=1,1,0)</f>
        <v>0</v>
      </c>
      <c r="AT13" s="279">
        <f>IF(AN13=0,1,0)</f>
        <v>0</v>
      </c>
      <c r="AU13" s="275"/>
      <c r="AV13" s="276"/>
      <c r="AX13" s="438"/>
      <c r="AY13" s="440"/>
      <c r="AZ13" s="442"/>
      <c r="BA13" s="444"/>
      <c r="BB13" s="446"/>
      <c r="BC13" s="448"/>
      <c r="BD13" s="450"/>
      <c r="BE13" s="452"/>
      <c r="BF13" s="454"/>
      <c r="BG13" s="456"/>
      <c r="BH13" s="458"/>
      <c r="BI13" s="460"/>
      <c r="BJ13" s="463"/>
      <c r="BK13" s="461"/>
      <c r="BW13" s="465"/>
      <c r="BX13" s="464"/>
      <c r="BY13" s="308"/>
    </row>
    <row r="14" spans="1:77" ht="11.9" customHeight="1" x14ac:dyDescent="0.25">
      <c r="B14" s="284"/>
      <c r="C14" s="285"/>
      <c r="D14" s="290" t="str">
        <f>'Proposte d''Acquisto'!B18</f>
        <v>DANIELE</v>
      </c>
      <c r="E14" s="287" t="str">
        <f>IF(B14&gt;C14,3,IF(B14&lt;C14,0,IF(B14="","",1)))</f>
        <v/>
      </c>
      <c r="F14" s="287" t="str">
        <f>IF(C14&gt;B14,3,IF(C14&lt;B14,0,IF(C14="","",1)))</f>
        <v/>
      </c>
      <c r="G14" s="288">
        <f>IF(E14=3,1,0)</f>
        <v>0</v>
      </c>
      <c r="H14" s="288">
        <f>IF(E14=1,1,0)</f>
        <v>0</v>
      </c>
      <c r="I14" s="288">
        <f>IF(E14=0,1,0)</f>
        <v>0</v>
      </c>
      <c r="J14" s="288">
        <f>IF(F14=3,1,0)</f>
        <v>0</v>
      </c>
      <c r="K14" s="288">
        <f>IF(F14=1,1,0)</f>
        <v>0</v>
      </c>
      <c r="L14" s="288">
        <f>IF(F14=0,1,0)</f>
        <v>0</v>
      </c>
      <c r="M14" s="299"/>
      <c r="N14" s="290" t="str">
        <f>'Proposte d''Acquisto'!B3</f>
        <v>ENRICO</v>
      </c>
      <c r="O14" s="287" t="str">
        <f>IF(W14&gt;X14,3,IF(W14&lt;X14,0,IF(W14="","",1)))</f>
        <v/>
      </c>
      <c r="P14" s="287" t="str">
        <f>IF(X14&gt;W14,3,IF(X14&lt;W14,0,IF(X14="","",1)))</f>
        <v/>
      </c>
      <c r="Q14" s="288">
        <f>IF(O14=3,1,0)</f>
        <v>0</v>
      </c>
      <c r="R14" s="288">
        <f>IF(O14=1,1,0)</f>
        <v>0</v>
      </c>
      <c r="S14" s="288">
        <f>IF(O14=0,1,0)</f>
        <v>0</v>
      </c>
      <c r="T14" s="288">
        <f>IF(P14=3,1,0)</f>
        <v>0</v>
      </c>
      <c r="U14" s="288">
        <f>IF(P14=1,1,0)</f>
        <v>0</v>
      </c>
      <c r="V14" s="288">
        <f>IF(P14=0,1,0)</f>
        <v>0</v>
      </c>
      <c r="W14" s="284"/>
      <c r="X14" s="285"/>
      <c r="Z14" s="284"/>
      <c r="AA14" s="285"/>
      <c r="AB14" s="290" t="str">
        <f>'Proposte d''Acquisto'!B18</f>
        <v>DANIELE</v>
      </c>
      <c r="AC14" s="287" t="str">
        <f>IF(Z14&gt;AA14,3,IF(Z14&lt;AA14,0,IF(Z14="","",1)))</f>
        <v/>
      </c>
      <c r="AD14" s="287" t="str">
        <f>IF(AA14&gt;Z14,3,IF(AA14&lt;Z14,0,IF(AA14="","",1)))</f>
        <v/>
      </c>
      <c r="AE14" s="288">
        <f>IF(AC14=3,1,0)</f>
        <v>0</v>
      </c>
      <c r="AF14" s="288">
        <f>IF(AC14=1,1,0)</f>
        <v>0</v>
      </c>
      <c r="AG14" s="288">
        <f>IF(AC14=0,1,0)</f>
        <v>0</v>
      </c>
      <c r="AH14" s="288">
        <f>IF(AD14=3,1,0)</f>
        <v>0</v>
      </c>
      <c r="AI14" s="288">
        <f>IF(AD14=1,1,0)</f>
        <v>0</v>
      </c>
      <c r="AJ14" s="288">
        <f>IF(AD14=0,1,0)</f>
        <v>0</v>
      </c>
      <c r="AK14" s="299"/>
      <c r="AL14" s="290" t="str">
        <f>'Proposte d''Acquisto'!B3</f>
        <v>ENRICO</v>
      </c>
      <c r="AM14" s="287" t="str">
        <f>IF(AU14&gt;AV14,3,IF(AU14&lt;AV14,0,IF(AU14="","",1)))</f>
        <v/>
      </c>
      <c r="AN14" s="287" t="str">
        <f>IF(AV14&gt;AU14,3,IF(AV14&lt;AU14,0,IF(AV14="","",1)))</f>
        <v/>
      </c>
      <c r="AO14" s="288">
        <f>IF(AM14=3,1,0)</f>
        <v>0</v>
      </c>
      <c r="AP14" s="288">
        <f>IF(AM14=1,1,0)</f>
        <v>0</v>
      </c>
      <c r="AQ14" s="288">
        <f>IF(AM14=0,1,0)</f>
        <v>0</v>
      </c>
      <c r="AR14" s="288">
        <f>IF(AN14=3,1,0)</f>
        <v>0</v>
      </c>
      <c r="AS14" s="288">
        <f>IF(AN14=1,1,0)</f>
        <v>0</v>
      </c>
      <c r="AT14" s="288">
        <f>IF(AN14=0,1,0)</f>
        <v>0</v>
      </c>
      <c r="AU14" s="284"/>
      <c r="AV14" s="285"/>
      <c r="AX14" s="437" t="s">
        <v>257</v>
      </c>
      <c r="AY14" s="439">
        <f>AZ14*3+BA14</f>
        <v>0</v>
      </c>
      <c r="AZ14" s="441"/>
      <c r="BA14" s="443"/>
      <c r="BB14" s="445"/>
      <c r="BC14" s="447">
        <f>SUM(AZ14,BA14,BB14)</f>
        <v>0</v>
      </c>
      <c r="BD14" s="449"/>
      <c r="BE14" s="451"/>
      <c r="BF14" s="453">
        <f>SUM(BD14-BE14)</f>
        <v>0</v>
      </c>
      <c r="BG14" s="455">
        <f>IF(BH14="*",0,SUM(BB14*Premi!H5+BA14*Premi!H4))</f>
        <v>0</v>
      </c>
      <c r="BH14" s="457"/>
      <c r="BI14" s="459">
        <f>SUM($E$7,$O$7,$F$12,$P$12,$E$20,$O$20,$F$25,$P$25,$E$35,$O$35,$E$41,$O$41,$F$49,$P$49,$AC$7,$AM$7,$AD$12,$AN$12,$AC$20,$AM$20,$AD$25,$AN$25,$AC$35,$AM$35,$AC$41,$AM$41,$AD$49,$AN$49)</f>
        <v>0</v>
      </c>
      <c r="BJ14" s="462">
        <v>0</v>
      </c>
      <c r="BK14" s="461">
        <f>(BF14*1000)+BD14</f>
        <v>0</v>
      </c>
      <c r="BW14" s="465"/>
      <c r="BX14" s="466"/>
      <c r="BY14" s="308"/>
    </row>
    <row r="15" spans="1:77" ht="11.9" customHeight="1" x14ac:dyDescent="0.25">
      <c r="AX15" s="438"/>
      <c r="AY15" s="440"/>
      <c r="AZ15" s="442"/>
      <c r="BA15" s="444"/>
      <c r="BB15" s="446"/>
      <c r="BC15" s="448"/>
      <c r="BD15" s="450"/>
      <c r="BE15" s="452"/>
      <c r="BF15" s="454"/>
      <c r="BG15" s="456"/>
      <c r="BH15" s="458"/>
      <c r="BI15" s="460"/>
      <c r="BJ15" s="463"/>
      <c r="BK15" s="461"/>
      <c r="BW15" s="465"/>
      <c r="BX15" s="464"/>
      <c r="BY15" s="308"/>
    </row>
    <row r="16" spans="1:77" ht="11.9" customHeight="1" x14ac:dyDescent="0.25">
      <c r="AX16" s="437" t="s">
        <v>255</v>
      </c>
      <c r="AY16" s="439">
        <f>AZ16*3+BA16</f>
        <v>0</v>
      </c>
      <c r="AZ16" s="441"/>
      <c r="BA16" s="443"/>
      <c r="BB16" s="445"/>
      <c r="BC16" s="447">
        <f>SUM(AZ16,BA16,BB16)</f>
        <v>0</v>
      </c>
      <c r="BD16" s="449"/>
      <c r="BE16" s="451"/>
      <c r="BF16" s="453">
        <f>SUM(BD16-BE16)</f>
        <v>0</v>
      </c>
      <c r="BG16" s="455">
        <f>IF(BH16="*",0,SUM(BB16*Premi!H5+BA16*Premi!H4))</f>
        <v>0</v>
      </c>
      <c r="BH16" s="457"/>
      <c r="BI16" s="459">
        <f>SUM($E$6,$O$6,$AC$6,$AM$6,$F$13,$P$13,$AD$13,$AN$13,$E$18,$O$18,$AC$18,$AM$18,$F$27,$P$27,$AD$27,$AN$27,$E$33,$O$33,$AC$33,$AM$33,$F$41,$P$41,$AD$41,$AN$41,$E$48,$O$48,$AC$48,$AM$48)</f>
        <v>0</v>
      </c>
      <c r="BJ16" s="462">
        <v>0</v>
      </c>
      <c r="BK16" s="461">
        <f>(BF16*1000)+BD16</f>
        <v>0</v>
      </c>
      <c r="BW16" s="465"/>
      <c r="BX16" s="466"/>
      <c r="BY16" s="308"/>
    </row>
    <row r="17" spans="2:77" ht="11.9" customHeight="1" x14ac:dyDescent="0.25">
      <c r="B17" s="430" t="s">
        <v>0</v>
      </c>
      <c r="C17" s="431"/>
      <c r="D17" s="432" t="s">
        <v>19</v>
      </c>
      <c r="E17" s="432"/>
      <c r="F17" s="432"/>
      <c r="G17" s="432"/>
      <c r="H17" s="432"/>
      <c r="I17" s="432"/>
      <c r="J17" s="432"/>
      <c r="K17" s="432"/>
      <c r="L17" s="432"/>
      <c r="M17" s="432"/>
      <c r="N17" s="432"/>
      <c r="O17" s="297"/>
      <c r="P17" s="297"/>
      <c r="Q17" s="297"/>
      <c r="R17" s="297"/>
      <c r="S17" s="297"/>
      <c r="T17" s="297"/>
      <c r="U17" s="297"/>
      <c r="V17" s="297"/>
      <c r="W17" s="431" t="s">
        <v>2</v>
      </c>
      <c r="X17" s="433"/>
      <c r="Z17" s="430" t="s">
        <v>0</v>
      </c>
      <c r="AA17" s="431"/>
      <c r="AB17" s="432" t="s">
        <v>20</v>
      </c>
      <c r="AC17" s="432"/>
      <c r="AD17" s="432"/>
      <c r="AE17" s="432"/>
      <c r="AF17" s="432"/>
      <c r="AG17" s="432"/>
      <c r="AH17" s="432"/>
      <c r="AI17" s="432"/>
      <c r="AJ17" s="432"/>
      <c r="AK17" s="432"/>
      <c r="AL17" s="432"/>
      <c r="AM17" s="297"/>
      <c r="AN17" s="297"/>
      <c r="AO17" s="297"/>
      <c r="AP17" s="297"/>
      <c r="AQ17" s="297"/>
      <c r="AR17" s="297"/>
      <c r="AS17" s="297"/>
      <c r="AT17" s="297"/>
      <c r="AU17" s="431" t="s">
        <v>2</v>
      </c>
      <c r="AV17" s="433"/>
      <c r="AX17" s="438"/>
      <c r="AY17" s="440"/>
      <c r="AZ17" s="442"/>
      <c r="BA17" s="444"/>
      <c r="BB17" s="446"/>
      <c r="BC17" s="448"/>
      <c r="BD17" s="450"/>
      <c r="BE17" s="452"/>
      <c r="BF17" s="454"/>
      <c r="BG17" s="456"/>
      <c r="BH17" s="458"/>
      <c r="BI17" s="460"/>
      <c r="BJ17" s="463"/>
      <c r="BK17" s="461"/>
      <c r="BW17" s="465"/>
      <c r="BX17" s="464"/>
      <c r="BY17" s="308"/>
    </row>
    <row r="18" spans="2:77" ht="11.9" customHeight="1" x14ac:dyDescent="0.25">
      <c r="B18" s="275"/>
      <c r="C18" s="276"/>
      <c r="D18" s="283" t="str">
        <f>'Proposte d''Acquisto'!B23</f>
        <v>MOLINA</v>
      </c>
      <c r="E18" s="278" t="str">
        <f>IF(B18&gt;C18,3,IF(B18&lt;C18,0,IF(B18="","",1)))</f>
        <v/>
      </c>
      <c r="F18" s="278" t="str">
        <f>IF(C18&gt;B18,3,IF(C18&lt;B18,0,IF(C18="","",1)))</f>
        <v/>
      </c>
      <c r="G18" s="279">
        <f>IF(E18=3,1,0)</f>
        <v>0</v>
      </c>
      <c r="H18" s="279">
        <f>IF(E18=1,1,0)</f>
        <v>0</v>
      </c>
      <c r="I18" s="279">
        <f>IF(E18=0,1,0)</f>
        <v>0</v>
      </c>
      <c r="J18" s="279">
        <f>IF(F18=3,1,0)</f>
        <v>0</v>
      </c>
      <c r="K18" s="279">
        <f>IF(F18=1,1,0)</f>
        <v>0</v>
      </c>
      <c r="L18" s="279">
        <f>IF(F18=0,1,0)</f>
        <v>0</v>
      </c>
      <c r="N18" s="283" t="str">
        <f>'Proposte d''Acquisto'!B13</f>
        <v>FABRIZIO</v>
      </c>
      <c r="O18" s="278" t="str">
        <f>IF(W18&gt;X18,3,IF(W18&lt;X18,0,IF(W18="","",1)))</f>
        <v/>
      </c>
      <c r="P18" s="278" t="str">
        <f>IF(X18&gt;W18,3,IF(X18&lt;W18,0,IF(X18="","",1)))</f>
        <v/>
      </c>
      <c r="Q18" s="279">
        <f>IF(O18=3,1,0)</f>
        <v>0</v>
      </c>
      <c r="R18" s="279">
        <f>IF(O18=1,1,0)</f>
        <v>0</v>
      </c>
      <c r="S18" s="279">
        <f>IF(O18=0,1,0)</f>
        <v>0</v>
      </c>
      <c r="T18" s="279">
        <f>IF(P18=3,1,0)</f>
        <v>0</v>
      </c>
      <c r="U18" s="279">
        <f>IF(P18=1,1,0)</f>
        <v>0</v>
      </c>
      <c r="V18" s="279">
        <f>IF(P18=0,1,0)</f>
        <v>0</v>
      </c>
      <c r="W18" s="275"/>
      <c r="X18" s="276"/>
      <c r="Z18" s="275"/>
      <c r="AA18" s="302"/>
      <c r="AB18" s="283" t="str">
        <f>'Proposte d''Acquisto'!B23</f>
        <v>MOLINA</v>
      </c>
      <c r="AC18" s="278" t="str">
        <f>IF(Z18&gt;AA18,3,IF(Z18&lt;AA18,0,IF(Z18="","",1)))</f>
        <v/>
      </c>
      <c r="AD18" s="278" t="str">
        <f>IF(AA18&gt;Z18,3,IF(AA18&lt;Z18,0,IF(AA18="","",1)))</f>
        <v/>
      </c>
      <c r="AE18" s="279">
        <f>IF(AC18=3,1,0)</f>
        <v>0</v>
      </c>
      <c r="AF18" s="279">
        <f>IF(AC18=1,1,0)</f>
        <v>0</v>
      </c>
      <c r="AG18" s="279">
        <f>IF(AC18=0,1,0)</f>
        <v>0</v>
      </c>
      <c r="AH18" s="279">
        <f>IF(AD18=3,1,0)</f>
        <v>0</v>
      </c>
      <c r="AI18" s="279">
        <f>IF(AD18=1,1,0)</f>
        <v>0</v>
      </c>
      <c r="AJ18" s="279">
        <f>IF(AD18=0,1,0)</f>
        <v>0</v>
      </c>
      <c r="AL18" s="283" t="str">
        <f>'Proposte d''Acquisto'!B13</f>
        <v>FABRIZIO</v>
      </c>
      <c r="AM18" s="278" t="str">
        <f>IF(AU18&gt;AV18,3,IF(AU18&lt;AV18,0,IF(AU18="","",1)))</f>
        <v/>
      </c>
      <c r="AN18" s="278" t="str">
        <f>IF(AV18&gt;AU18,3,IF(AV18&lt;AU18,0,IF(AV18="","",1)))</f>
        <v/>
      </c>
      <c r="AO18" s="279">
        <f>IF(AM18=3,1,0)</f>
        <v>0</v>
      </c>
      <c r="AP18" s="279">
        <f>IF(AM18=1,1,0)</f>
        <v>0</v>
      </c>
      <c r="AQ18" s="279">
        <f>IF(AM18=0,1,0)</f>
        <v>0</v>
      </c>
      <c r="AR18" s="279">
        <f>IF(AN18=3,1,0)</f>
        <v>0</v>
      </c>
      <c r="AS18" s="279">
        <f>IF(AN18=1,1,0)</f>
        <v>0</v>
      </c>
      <c r="AT18" s="279">
        <f>IF(AN18=0,1,0)</f>
        <v>0</v>
      </c>
      <c r="AU18" s="275"/>
      <c r="AV18" s="276"/>
      <c r="AW18" s="274"/>
      <c r="AX18" s="437" t="s">
        <v>261</v>
      </c>
      <c r="AY18" s="439">
        <f>AZ18*3+BA18</f>
        <v>0</v>
      </c>
      <c r="AZ18" s="441"/>
      <c r="BA18" s="443"/>
      <c r="BB18" s="445"/>
      <c r="BC18" s="447">
        <f>SUM(AZ18,BA18,BB18)</f>
        <v>0</v>
      </c>
      <c r="BD18" s="449"/>
      <c r="BE18" s="451"/>
      <c r="BF18" s="453">
        <f>SUM(BD18-BE18)</f>
        <v>0</v>
      </c>
      <c r="BG18" s="455">
        <f>IF(BH18="*",0,SUM(BB18*Premi!H5+BA18*Premi!H4))</f>
        <v>0</v>
      </c>
      <c r="BH18" s="457"/>
      <c r="BI18" s="459">
        <f>SUM($F$5,$P$5,$AD$5,$AN$5,$E$13,$O$13,$AC$13,$AM$13,$E$19,$O$19,$AC$19,$AM$19,$F$28,$P$28,$AD$28,$AN$28,$F$42,$P$42,$AD$42,$AN$42,$E$49,$O$49,$AC$49,$AM$49,$AM$34,$AC$34,$E$34,$O$34)</f>
        <v>0</v>
      </c>
      <c r="BJ18" s="462">
        <v>0</v>
      </c>
      <c r="BK18" s="461">
        <f>(BF18*1000)+BD18</f>
        <v>0</v>
      </c>
      <c r="BW18" s="465"/>
      <c r="BX18" s="466"/>
      <c r="BY18" s="308"/>
    </row>
    <row r="19" spans="2:77" ht="11.9" customHeight="1" x14ac:dyDescent="0.25">
      <c r="B19" s="280"/>
      <c r="C19" s="281"/>
      <c r="D19" s="282" t="str">
        <f>'Proposte d''Acquisto'!B38</f>
        <v>DARIO</v>
      </c>
      <c r="E19" s="278" t="str">
        <f>IF(B19&gt;C19,3,IF(B19&lt;C19,0,IF(B19="","",1)))</f>
        <v/>
      </c>
      <c r="F19" s="278" t="str">
        <f>IF(C19&gt;B19,3,IF(C19&lt;B19,0,IF(C19="","",1)))</f>
        <v/>
      </c>
      <c r="G19" s="279">
        <f>IF(E19=3,1,0)</f>
        <v>0</v>
      </c>
      <c r="H19" s="279">
        <f>IF(E19=1,1,0)</f>
        <v>0</v>
      </c>
      <c r="I19" s="279">
        <f>IF(E19=0,1,0)</f>
        <v>0</v>
      </c>
      <c r="J19" s="279">
        <f>IF(F19=3,1,0)</f>
        <v>0</v>
      </c>
      <c r="K19" s="279">
        <f>IF(F19=1,1,0)</f>
        <v>0</v>
      </c>
      <c r="L19" s="279">
        <f>IF(F19=0,1,0)</f>
        <v>0</v>
      </c>
      <c r="M19" s="298"/>
      <c r="N19" s="282" t="str">
        <f>'Proposte d''Acquisto'!B18</f>
        <v>DANIELE</v>
      </c>
      <c r="O19" s="278" t="str">
        <f>IF(W19&gt;X19,3,IF(W19&lt;X19,0,IF(W19="","",1)))</f>
        <v/>
      </c>
      <c r="P19" s="278" t="str">
        <f>IF(X19&gt;W19,3,IF(X19&lt;W19,0,IF(X19="","",1)))</f>
        <v/>
      </c>
      <c r="Q19" s="279">
        <f>IF(O19=3,1,0)</f>
        <v>0</v>
      </c>
      <c r="R19" s="279">
        <f>IF(O19=1,1,0)</f>
        <v>0</v>
      </c>
      <c r="S19" s="279">
        <f>IF(O19=0,1,0)</f>
        <v>0</v>
      </c>
      <c r="T19" s="279">
        <f>IF(P19=3,1,0)</f>
        <v>0</v>
      </c>
      <c r="U19" s="279">
        <f>IF(P19=1,1,0)</f>
        <v>0</v>
      </c>
      <c r="V19" s="279">
        <f>IF(P19=0,1,0)</f>
        <v>0</v>
      </c>
      <c r="W19" s="280"/>
      <c r="X19" s="281"/>
      <c r="Z19" s="280"/>
      <c r="AA19" s="281"/>
      <c r="AB19" s="282" t="str">
        <f>'Proposte d''Acquisto'!B38</f>
        <v>DARIO</v>
      </c>
      <c r="AC19" s="278" t="str">
        <f>IF(Z19&gt;AA19,3,IF(Z19&lt;AA19,0,IF(Z19="","",1)))</f>
        <v/>
      </c>
      <c r="AD19" s="278" t="str">
        <f>IF(AA19&gt;Z19,3,IF(AA19&lt;Z19,0,IF(AA19="","",1)))</f>
        <v/>
      </c>
      <c r="AE19" s="279">
        <f>IF(AC19=3,1,0)</f>
        <v>0</v>
      </c>
      <c r="AF19" s="279">
        <f>IF(AC19=1,1,0)</f>
        <v>0</v>
      </c>
      <c r="AG19" s="279">
        <f>IF(AC19=0,1,0)</f>
        <v>0</v>
      </c>
      <c r="AH19" s="279">
        <f>IF(AD19=3,1,0)</f>
        <v>0</v>
      </c>
      <c r="AI19" s="279">
        <f>IF(AD19=1,1,0)</f>
        <v>0</v>
      </c>
      <c r="AJ19" s="279">
        <f>IF(AD19=0,1,0)</f>
        <v>0</v>
      </c>
      <c r="AK19" s="298"/>
      <c r="AL19" s="282" t="str">
        <f>'Proposte d''Acquisto'!B18</f>
        <v>DANIELE</v>
      </c>
      <c r="AM19" s="278" t="str">
        <f>IF(AU19&gt;AV19,3,IF(AU19&lt;AV19,0,IF(AU19="","",1)))</f>
        <v/>
      </c>
      <c r="AN19" s="278" t="str">
        <f>IF(AV19&gt;AU19,3,IF(AV19&lt;AU19,0,IF(AV19="","",1)))</f>
        <v/>
      </c>
      <c r="AO19" s="279">
        <f>IF(AM19=3,1,0)</f>
        <v>0</v>
      </c>
      <c r="AP19" s="279">
        <f>IF(AM19=1,1,0)</f>
        <v>0</v>
      </c>
      <c r="AQ19" s="279">
        <f>IF(AM19=0,1,0)</f>
        <v>0</v>
      </c>
      <c r="AR19" s="279">
        <f>IF(AN19=3,1,0)</f>
        <v>0</v>
      </c>
      <c r="AS19" s="279">
        <f>IF(AN19=1,1,0)</f>
        <v>0</v>
      </c>
      <c r="AT19" s="279">
        <f>IF(AN19=0,1,0)</f>
        <v>0</v>
      </c>
      <c r="AU19" s="280"/>
      <c r="AV19" s="281"/>
      <c r="AW19" s="274"/>
      <c r="AX19" s="438"/>
      <c r="AY19" s="440"/>
      <c r="AZ19" s="442"/>
      <c r="BA19" s="444"/>
      <c r="BB19" s="446"/>
      <c r="BC19" s="448"/>
      <c r="BD19" s="450"/>
      <c r="BE19" s="452"/>
      <c r="BF19" s="454"/>
      <c r="BG19" s="456"/>
      <c r="BH19" s="458"/>
      <c r="BI19" s="460"/>
      <c r="BJ19" s="463"/>
      <c r="BK19" s="461"/>
      <c r="BW19" s="465"/>
      <c r="BX19" s="464"/>
      <c r="BY19" s="308"/>
    </row>
    <row r="20" spans="2:77" ht="11.9" customHeight="1" x14ac:dyDescent="0.25">
      <c r="B20" s="275"/>
      <c r="C20" s="276"/>
      <c r="D20" s="283" t="str">
        <f>'Proposte d''Acquisto'!B33</f>
        <v>VINCENZO</v>
      </c>
      <c r="E20" s="278" t="str">
        <f>IF(B20&gt;C20,3,IF(B20&lt;C20,0,IF(B20="","",1)))</f>
        <v/>
      </c>
      <c r="F20" s="278" t="str">
        <f>IF(C20&gt;B20,3,IF(C20&lt;B20,0,IF(C20="","",1)))</f>
        <v/>
      </c>
      <c r="G20" s="279">
        <f>IF(E20=3,1,0)</f>
        <v>0</v>
      </c>
      <c r="H20" s="279">
        <f>IF(E20=1,1,0)</f>
        <v>0</v>
      </c>
      <c r="I20" s="279">
        <f>IF(E20=0,1,0)</f>
        <v>0</v>
      </c>
      <c r="J20" s="279">
        <f>IF(F20=3,1,0)</f>
        <v>0</v>
      </c>
      <c r="K20" s="279">
        <f>IF(F20=1,1,0)</f>
        <v>0</v>
      </c>
      <c r="L20" s="279">
        <f>IF(F20=0,1,0)</f>
        <v>0</v>
      </c>
      <c r="N20" s="283" t="str">
        <f>'Proposte d''Acquisto'!B8</f>
        <v>RICCARDO</v>
      </c>
      <c r="O20" s="278" t="str">
        <f>IF(W20&gt;X20,3,IF(W20&lt;X20,0,IF(W20="","",1)))</f>
        <v/>
      </c>
      <c r="P20" s="278" t="str">
        <f>IF(X20&gt;W20,3,IF(X20&lt;W20,0,IF(X20="","",1)))</f>
        <v/>
      </c>
      <c r="Q20" s="279">
        <f>IF(O20=3,1,0)</f>
        <v>0</v>
      </c>
      <c r="R20" s="279">
        <f>IF(O20=1,1,0)</f>
        <v>0</v>
      </c>
      <c r="S20" s="279">
        <f>IF(O20=0,1,0)</f>
        <v>0</v>
      </c>
      <c r="T20" s="279">
        <f>IF(P20=3,1,0)</f>
        <v>0</v>
      </c>
      <c r="U20" s="279">
        <f>IF(P20=1,1,0)</f>
        <v>0</v>
      </c>
      <c r="V20" s="279">
        <f>IF(P20=0,1,0)</f>
        <v>0</v>
      </c>
      <c r="W20" s="275"/>
      <c r="X20" s="276"/>
      <c r="Z20" s="275"/>
      <c r="AA20" s="276"/>
      <c r="AB20" s="283" t="str">
        <f>'Proposte d''Acquisto'!B33</f>
        <v>VINCENZO</v>
      </c>
      <c r="AC20" s="278" t="str">
        <f>IF(Z20&gt;AA20,3,IF(Z20&lt;AA20,0,IF(Z20="","",1)))</f>
        <v/>
      </c>
      <c r="AD20" s="278" t="str">
        <f>IF(AA20&gt;Z20,3,IF(AA20&lt;Z20,0,IF(AA20="","",1)))</f>
        <v/>
      </c>
      <c r="AE20" s="279">
        <f>IF(AC20=3,1,0)</f>
        <v>0</v>
      </c>
      <c r="AF20" s="279">
        <f>IF(AC20=1,1,0)</f>
        <v>0</v>
      </c>
      <c r="AG20" s="279">
        <f>IF(AC20=0,1,0)</f>
        <v>0</v>
      </c>
      <c r="AH20" s="279">
        <f>IF(AD20=3,1,0)</f>
        <v>0</v>
      </c>
      <c r="AI20" s="279">
        <f>IF(AD20=1,1,0)</f>
        <v>0</v>
      </c>
      <c r="AJ20" s="279">
        <f>IF(AD20=0,1,0)</f>
        <v>0</v>
      </c>
      <c r="AL20" s="283" t="str">
        <f>'Proposte d''Acquisto'!B8</f>
        <v>RICCARDO</v>
      </c>
      <c r="AM20" s="278" t="str">
        <f>IF(AU20&gt;AV20,3,IF(AU20&lt;AV20,0,IF(AU20="","",1)))</f>
        <v/>
      </c>
      <c r="AN20" s="278" t="str">
        <f>IF(AV20&gt;AU20,3,IF(AV20&lt;AU20,0,IF(AV20="","",1)))</f>
        <v/>
      </c>
      <c r="AO20" s="279">
        <f>IF(AM20=3,1,0)</f>
        <v>0</v>
      </c>
      <c r="AP20" s="279">
        <f>IF(AM20=1,1,0)</f>
        <v>0</v>
      </c>
      <c r="AQ20" s="279">
        <f>IF(AM20=0,1,0)</f>
        <v>0</v>
      </c>
      <c r="AR20" s="279">
        <f>IF(AN20=3,1,0)</f>
        <v>0</v>
      </c>
      <c r="AS20" s="279">
        <f>IF(AN20=1,1,0)</f>
        <v>0</v>
      </c>
      <c r="AT20" s="279">
        <f>IF(AN20=0,1,0)</f>
        <v>0</v>
      </c>
      <c r="AU20" s="275"/>
      <c r="AV20" s="276"/>
      <c r="AW20" s="274"/>
      <c r="AX20" s="437" t="s">
        <v>258</v>
      </c>
      <c r="AY20" s="439">
        <f>AZ20*3+BA20</f>
        <v>0</v>
      </c>
      <c r="AZ20" s="441"/>
      <c r="BA20" s="443"/>
      <c r="BB20" s="445"/>
      <c r="BC20" s="447">
        <f>SUM(AZ20,BA20,BB20)</f>
        <v>0</v>
      </c>
      <c r="BD20" s="449"/>
      <c r="BE20" s="451"/>
      <c r="BF20" s="453">
        <f>SUM(BD20-BE20)</f>
        <v>0</v>
      </c>
      <c r="BG20" s="455">
        <f>IF(BH20="*",0,SUM(BB20*Premi!H5+BA20*Premi!H4))</f>
        <v>0</v>
      </c>
      <c r="BH20" s="457"/>
      <c r="BI20" s="459">
        <f>SUM($E$4,$O$4,$AC$4,$AM$4,$F$14,$P$14,$AD$14,$AN$14,$F$21,$P$21,$AD$21,$AN$21,$E$25,$O$25,$AC$25,$AM$25,$F$34,$P$34,$AD$34,$AN$34,$E$40,$O$40,$AC$40,$AM$40,$F$48,$P$48,$AD$48,$AN$48)</f>
        <v>0</v>
      </c>
      <c r="BJ20" s="462">
        <v>0</v>
      </c>
      <c r="BK20" s="461">
        <f>(BF20*1000)+BD20</f>
        <v>0</v>
      </c>
      <c r="BW20" s="465"/>
      <c r="BX20" s="464"/>
      <c r="BY20" s="308"/>
    </row>
    <row r="21" spans="2:77" ht="11.9" customHeight="1" x14ac:dyDescent="0.25">
      <c r="B21" s="284"/>
      <c r="C21" s="285"/>
      <c r="D21" s="290" t="str">
        <f>'Proposte d''Acquisto'!B28</f>
        <v>EUGENIO</v>
      </c>
      <c r="E21" s="287" t="str">
        <f>IF(B21&gt;C21,3,IF(B21&lt;C21,0,IF(B21="","",1)))</f>
        <v/>
      </c>
      <c r="F21" s="287" t="str">
        <f>IF(C21&gt;B21,3,IF(C21&lt;B21,0,IF(C21="","",1)))</f>
        <v/>
      </c>
      <c r="G21" s="288">
        <f>IF(E21=3,1,0)</f>
        <v>0</v>
      </c>
      <c r="H21" s="288">
        <f>IF(E21=1,1,0)</f>
        <v>0</v>
      </c>
      <c r="I21" s="288">
        <f>IF(E21=0,1,0)</f>
        <v>0</v>
      </c>
      <c r="J21" s="288">
        <f>IF(F21=3,1,0)</f>
        <v>0</v>
      </c>
      <c r="K21" s="288">
        <f>IF(F21=1,1,0)</f>
        <v>0</v>
      </c>
      <c r="L21" s="288">
        <f>IF(F21=0,1,0)</f>
        <v>0</v>
      </c>
      <c r="M21" s="299"/>
      <c r="N21" s="290" t="str">
        <f>'Proposte d''Acquisto'!B3</f>
        <v>ENRICO</v>
      </c>
      <c r="O21" s="287" t="str">
        <f>IF(W21&gt;X21,3,IF(W21&lt;X21,0,IF(W21="","",1)))</f>
        <v/>
      </c>
      <c r="P21" s="287" t="str">
        <f>IF(X21&gt;W21,3,IF(X21&lt;W21,0,IF(X21="","",1)))</f>
        <v/>
      </c>
      <c r="Q21" s="288">
        <f>IF(O21=3,1,0)</f>
        <v>0</v>
      </c>
      <c r="R21" s="288">
        <f>IF(O21=1,1,0)</f>
        <v>0</v>
      </c>
      <c r="S21" s="288">
        <f>IF(O21=0,1,0)</f>
        <v>0</v>
      </c>
      <c r="T21" s="288">
        <f>IF(P21=3,1,0)</f>
        <v>0</v>
      </c>
      <c r="U21" s="288">
        <f>IF(P21=1,1,0)</f>
        <v>0</v>
      </c>
      <c r="V21" s="288">
        <f>IF(P21=0,1,0)</f>
        <v>0</v>
      </c>
      <c r="W21" s="284"/>
      <c r="X21" s="285"/>
      <c r="Z21" s="284"/>
      <c r="AA21" s="285"/>
      <c r="AB21" s="290" t="str">
        <f>'Proposte d''Acquisto'!B28</f>
        <v>EUGENIO</v>
      </c>
      <c r="AC21" s="287" t="str">
        <f>IF(Z21&gt;AA21,3,IF(Z21&lt;AA21,0,IF(Z21="","",1)))</f>
        <v/>
      </c>
      <c r="AD21" s="287" t="str">
        <f>IF(AA21&gt;Z21,3,IF(AA21&lt;Z21,0,IF(AA21="","",1)))</f>
        <v/>
      </c>
      <c r="AE21" s="288">
        <f>IF(AC21=3,1,0)</f>
        <v>0</v>
      </c>
      <c r="AF21" s="288">
        <f>IF(AC21=1,1,0)</f>
        <v>0</v>
      </c>
      <c r="AG21" s="288">
        <f>IF(AC21=0,1,0)</f>
        <v>0</v>
      </c>
      <c r="AH21" s="288">
        <f>IF(AD21=3,1,0)</f>
        <v>0</v>
      </c>
      <c r="AI21" s="288">
        <f>IF(AD21=1,1,0)</f>
        <v>0</v>
      </c>
      <c r="AJ21" s="288">
        <f>IF(AD21=0,1,0)</f>
        <v>0</v>
      </c>
      <c r="AK21" s="299"/>
      <c r="AL21" s="290" t="str">
        <f>'Proposte d''Acquisto'!B3</f>
        <v>ENRICO</v>
      </c>
      <c r="AM21" s="287" t="str">
        <f>IF(AU21&gt;AV21,3,IF(AU21&lt;AV21,0,IF(AU21="","",1)))</f>
        <v/>
      </c>
      <c r="AN21" s="287" t="str">
        <f>IF(AV21&gt;AU21,3,IF(AV21&lt;AU21,0,IF(AV21="","",1)))</f>
        <v/>
      </c>
      <c r="AO21" s="288">
        <f>IF(AM21=3,1,0)</f>
        <v>0</v>
      </c>
      <c r="AP21" s="288">
        <f>IF(AM21=1,1,0)</f>
        <v>0</v>
      </c>
      <c r="AQ21" s="288">
        <f>IF(AM21=0,1,0)</f>
        <v>0</v>
      </c>
      <c r="AR21" s="288">
        <f>IF(AN21=3,1,0)</f>
        <v>0</v>
      </c>
      <c r="AS21" s="288">
        <f>IF(AN21=1,1,0)</f>
        <v>0</v>
      </c>
      <c r="AT21" s="288">
        <f>IF(AN21=0,1,0)</f>
        <v>0</v>
      </c>
      <c r="AU21" s="284"/>
      <c r="AV21" s="285"/>
      <c r="AW21" s="274"/>
      <c r="AX21" s="438"/>
      <c r="AY21" s="440"/>
      <c r="AZ21" s="442"/>
      <c r="BA21" s="444"/>
      <c r="BB21" s="446"/>
      <c r="BC21" s="448"/>
      <c r="BD21" s="450"/>
      <c r="BE21" s="452"/>
      <c r="BF21" s="454"/>
      <c r="BG21" s="456"/>
      <c r="BH21" s="458"/>
      <c r="BI21" s="460"/>
      <c r="BJ21" s="463"/>
      <c r="BK21" s="461"/>
      <c r="BW21" s="465"/>
      <c r="BX21" s="464"/>
      <c r="BY21" s="308"/>
    </row>
    <row r="22" spans="2:77" ht="11.9" customHeight="1" x14ac:dyDescent="0.25">
      <c r="AW22" s="274"/>
      <c r="BJ22" s="304"/>
      <c r="BW22" s="465"/>
      <c r="BX22" s="464"/>
      <c r="BY22" s="308"/>
    </row>
    <row r="23" spans="2:77" ht="11.9" customHeight="1" x14ac:dyDescent="0.25">
      <c r="AW23" s="274"/>
      <c r="BJ23" s="304"/>
      <c r="BW23" s="465"/>
      <c r="BX23" s="464"/>
    </row>
    <row r="24" spans="2:77" ht="11.9" customHeight="1" x14ac:dyDescent="0.25">
      <c r="B24" s="430" t="s">
        <v>0</v>
      </c>
      <c r="C24" s="431"/>
      <c r="D24" s="432" t="s">
        <v>21</v>
      </c>
      <c r="E24" s="432"/>
      <c r="F24" s="432"/>
      <c r="G24" s="432"/>
      <c r="H24" s="432"/>
      <c r="I24" s="432"/>
      <c r="J24" s="432"/>
      <c r="K24" s="432"/>
      <c r="L24" s="432"/>
      <c r="M24" s="432"/>
      <c r="N24" s="432"/>
      <c r="O24" s="297"/>
      <c r="P24" s="297"/>
      <c r="Q24" s="297"/>
      <c r="R24" s="297"/>
      <c r="S24" s="297"/>
      <c r="T24" s="297"/>
      <c r="U24" s="297"/>
      <c r="V24" s="297"/>
      <c r="W24" s="431" t="s">
        <v>2</v>
      </c>
      <c r="X24" s="433"/>
      <c r="Z24" s="430" t="s">
        <v>0</v>
      </c>
      <c r="AA24" s="431"/>
      <c r="AB24" s="432" t="s">
        <v>22</v>
      </c>
      <c r="AC24" s="432"/>
      <c r="AD24" s="432"/>
      <c r="AE24" s="432"/>
      <c r="AF24" s="432"/>
      <c r="AG24" s="432"/>
      <c r="AH24" s="432"/>
      <c r="AI24" s="432"/>
      <c r="AJ24" s="432"/>
      <c r="AK24" s="432"/>
      <c r="AL24" s="432"/>
      <c r="AM24" s="297"/>
      <c r="AN24" s="297"/>
      <c r="AO24" s="297"/>
      <c r="AP24" s="297"/>
      <c r="AQ24" s="297"/>
      <c r="AR24" s="297"/>
      <c r="AS24" s="297"/>
      <c r="AT24" s="297"/>
      <c r="AU24" s="431" t="s">
        <v>2</v>
      </c>
      <c r="AV24" s="433"/>
      <c r="AW24" s="274"/>
      <c r="BW24" s="465"/>
      <c r="BX24" s="464"/>
    </row>
    <row r="25" spans="2:77" ht="11.9" customHeight="1" x14ac:dyDescent="0.25">
      <c r="B25" s="275"/>
      <c r="C25" s="276"/>
      <c r="D25" s="283" t="str">
        <f>'Proposte d''Acquisto'!B3</f>
        <v>ENRICO</v>
      </c>
      <c r="E25" s="278" t="str">
        <f>IF(B25&gt;C25,3,IF(B25&lt;C25,0,IF(B25="","",1)))</f>
        <v/>
      </c>
      <c r="F25" s="278" t="str">
        <f>IF(C25&gt;B25,3,IF(C25&lt;B25,0,IF(C25="","",1)))</f>
        <v/>
      </c>
      <c r="G25" s="279">
        <f>IF(E25=3,1,0)</f>
        <v>0</v>
      </c>
      <c r="H25" s="279">
        <f>IF(E25=1,1,0)</f>
        <v>0</v>
      </c>
      <c r="I25" s="279">
        <f>IF(E25=0,1,0)</f>
        <v>0</v>
      </c>
      <c r="J25" s="279">
        <f>IF(F25=3,1,0)</f>
        <v>0</v>
      </c>
      <c r="K25" s="279">
        <f>IF(F25=1,1,0)</f>
        <v>0</v>
      </c>
      <c r="L25" s="279">
        <f>IF(F25=0,1,0)</f>
        <v>0</v>
      </c>
      <c r="N25" s="283" t="str">
        <f>'Proposte d''Acquisto'!B33</f>
        <v>VINCENZO</v>
      </c>
      <c r="O25" s="278" t="str">
        <f>IF(W25&gt;X25,3,IF(W25&lt;X25,0,IF(W25="","",1)))</f>
        <v/>
      </c>
      <c r="P25" s="278" t="str">
        <f>IF(X25&gt;W25,3,IF(X25&lt;W25,0,IF(X25="","",1)))</f>
        <v/>
      </c>
      <c r="Q25" s="279">
        <f>IF(O25=3,1,0)</f>
        <v>0</v>
      </c>
      <c r="R25" s="279">
        <f>IF(O25=1,1,0)</f>
        <v>0</v>
      </c>
      <c r="S25" s="279">
        <f>IF(O25=0,1,0)</f>
        <v>0</v>
      </c>
      <c r="T25" s="279">
        <f>IF(P25=3,1,0)</f>
        <v>0</v>
      </c>
      <c r="U25" s="279">
        <f>IF(P25=1,1,0)</f>
        <v>0</v>
      </c>
      <c r="V25" s="279">
        <f>IF(P25=0,1,0)</f>
        <v>0</v>
      </c>
      <c r="W25" s="275"/>
      <c r="X25" s="276"/>
      <c r="Z25" s="275"/>
      <c r="AA25" s="302"/>
      <c r="AB25" s="283" t="str">
        <f>'Proposte d''Acquisto'!B3</f>
        <v>ENRICO</v>
      </c>
      <c r="AC25" s="278" t="str">
        <f>IF(Z25&gt;AA25,3,IF(Z25&lt;AA25,0,IF(Z25="","",1)))</f>
        <v/>
      </c>
      <c r="AD25" s="278" t="str">
        <f>IF(AA25&gt;Z25,3,IF(AA25&lt;Z25,0,IF(AA25="","",1)))</f>
        <v/>
      </c>
      <c r="AE25" s="279">
        <f>IF(AC25=3,1,0)</f>
        <v>0</v>
      </c>
      <c r="AF25" s="279">
        <f>IF(AC25=1,1,0)</f>
        <v>0</v>
      </c>
      <c r="AG25" s="279">
        <f>IF(AC25=0,1,0)</f>
        <v>0</v>
      </c>
      <c r="AH25" s="279">
        <f>IF(AD25=3,1,0)</f>
        <v>0</v>
      </c>
      <c r="AI25" s="279">
        <f>IF(AD25=1,1,0)</f>
        <v>0</v>
      </c>
      <c r="AJ25" s="279">
        <f>IF(AD25=0,1,0)</f>
        <v>0</v>
      </c>
      <c r="AL25" s="283" t="str">
        <f>'Proposte d''Acquisto'!B33</f>
        <v>VINCENZO</v>
      </c>
      <c r="AM25" s="278" t="str">
        <f>IF(AU25&gt;AV25,3,IF(AU25&lt;AV25,0,IF(AU25="","",1)))</f>
        <v/>
      </c>
      <c r="AN25" s="278" t="str">
        <f>IF(AV25&gt;AU25,3,IF(AV25&lt;AU25,0,IF(AV25="","",1)))</f>
        <v/>
      </c>
      <c r="AO25" s="279">
        <f>IF(AM25=3,1,0)</f>
        <v>0</v>
      </c>
      <c r="AP25" s="279">
        <f>IF(AM25=1,1,0)</f>
        <v>0</v>
      </c>
      <c r="AQ25" s="279">
        <f>IF(AM25=0,1,0)</f>
        <v>0</v>
      </c>
      <c r="AR25" s="279">
        <f>IF(AN25=3,1,0)</f>
        <v>0</v>
      </c>
      <c r="AS25" s="279">
        <f>IF(AN25=1,1,0)</f>
        <v>0</v>
      </c>
      <c r="AT25" s="279">
        <f>IF(AN25=0,1,0)</f>
        <v>0</v>
      </c>
      <c r="AU25" s="275"/>
      <c r="AV25" s="276"/>
      <c r="AW25" s="274"/>
      <c r="BW25" s="465"/>
      <c r="BX25" s="464"/>
    </row>
    <row r="26" spans="2:77" ht="11.9" customHeight="1" x14ac:dyDescent="0.25">
      <c r="B26" s="280"/>
      <c r="C26" s="281"/>
      <c r="D26" s="282" t="str">
        <f>'Proposte d''Acquisto'!B28</f>
        <v>EUGENIO</v>
      </c>
      <c r="E26" s="278" t="str">
        <f>IF(B26&gt;C26,3,IF(B26&lt;C26,0,IF(B26="","",1)))</f>
        <v/>
      </c>
      <c r="F26" s="278" t="str">
        <f>IF(C26&gt;B26,3,IF(C26&lt;B26,0,IF(C26="","",1)))</f>
        <v/>
      </c>
      <c r="G26" s="279">
        <f>IF(E26=3,1,0)</f>
        <v>0</v>
      </c>
      <c r="H26" s="279">
        <f>IF(E26=1,1,0)</f>
        <v>0</v>
      </c>
      <c r="I26" s="279">
        <f>IF(E26=0,1,0)</f>
        <v>0</v>
      </c>
      <c r="J26" s="279">
        <f>IF(F26=3,1,0)</f>
        <v>0</v>
      </c>
      <c r="K26" s="279">
        <f>IF(F26=1,1,0)</f>
        <v>0</v>
      </c>
      <c r="L26" s="279">
        <f>IF(F26=0,1,0)</f>
        <v>0</v>
      </c>
      <c r="M26" s="298"/>
      <c r="N26" s="282" t="str">
        <f>'Proposte d''Acquisto'!B13</f>
        <v>FABRIZIO</v>
      </c>
      <c r="O26" s="278" t="str">
        <f>IF(W26&gt;X26,3,IF(W26&lt;X26,0,IF(W26="","",1)))</f>
        <v/>
      </c>
      <c r="P26" s="278" t="str">
        <f>IF(X26&gt;W26,3,IF(X26&lt;W26,0,IF(X26="","",1)))</f>
        <v/>
      </c>
      <c r="Q26" s="279">
        <f>IF(O26=3,1,0)</f>
        <v>0</v>
      </c>
      <c r="R26" s="279">
        <f>IF(O26=1,1,0)</f>
        <v>0</v>
      </c>
      <c r="S26" s="279">
        <f>IF(O26=0,1,0)</f>
        <v>0</v>
      </c>
      <c r="T26" s="279">
        <f>IF(P26=3,1,0)</f>
        <v>0</v>
      </c>
      <c r="U26" s="279">
        <f>IF(P26=1,1,0)</f>
        <v>0</v>
      </c>
      <c r="V26" s="279">
        <f>IF(P26=0,1,0)</f>
        <v>0</v>
      </c>
      <c r="W26" s="280"/>
      <c r="X26" s="281"/>
      <c r="Z26" s="280"/>
      <c r="AA26" s="281"/>
      <c r="AB26" s="282" t="str">
        <f>'Proposte d''Acquisto'!B28</f>
        <v>EUGENIO</v>
      </c>
      <c r="AC26" s="278" t="str">
        <f>IF(Z26&gt;AA26,3,IF(Z26&lt;AA26,0,IF(Z26="","",1)))</f>
        <v/>
      </c>
      <c r="AD26" s="278" t="str">
        <f>IF(AA26&gt;Z26,3,IF(AA26&lt;Z26,0,IF(AA26="","",1)))</f>
        <v/>
      </c>
      <c r="AE26" s="279">
        <f>IF(AC26=3,1,0)</f>
        <v>0</v>
      </c>
      <c r="AF26" s="279">
        <f>IF(AC26=1,1,0)</f>
        <v>0</v>
      </c>
      <c r="AG26" s="279">
        <f>IF(AC26=0,1,0)</f>
        <v>0</v>
      </c>
      <c r="AH26" s="279">
        <f>IF(AD26=3,1,0)</f>
        <v>0</v>
      </c>
      <c r="AI26" s="279">
        <f>IF(AD26=1,1,0)</f>
        <v>0</v>
      </c>
      <c r="AJ26" s="279">
        <f>IF(AD26=0,1,0)</f>
        <v>0</v>
      </c>
      <c r="AK26" s="298"/>
      <c r="AL26" s="282" t="str">
        <f>'Proposte d''Acquisto'!B13</f>
        <v>FABRIZIO</v>
      </c>
      <c r="AM26" s="278" t="str">
        <f>IF(AU26&gt;AV26,3,IF(AU26&lt;AV26,0,IF(AU26="","",1)))</f>
        <v/>
      </c>
      <c r="AN26" s="278" t="str">
        <f>IF(AV26&gt;AU26,3,IF(AV26&lt;AU26,0,IF(AV26="","",1)))</f>
        <v/>
      </c>
      <c r="AO26" s="279">
        <f>IF(AM26=3,1,0)</f>
        <v>0</v>
      </c>
      <c r="AP26" s="279">
        <f>IF(AM26=1,1,0)</f>
        <v>0</v>
      </c>
      <c r="AQ26" s="279">
        <f>IF(AM26=0,1,0)</f>
        <v>0</v>
      </c>
      <c r="AR26" s="279">
        <f>IF(AN26=3,1,0)</f>
        <v>0</v>
      </c>
      <c r="AS26" s="279">
        <f>IF(AN26=1,1,0)</f>
        <v>0</v>
      </c>
      <c r="AT26" s="279">
        <f>IF(AN26=0,1,0)</f>
        <v>0</v>
      </c>
      <c r="AU26" s="280"/>
      <c r="AV26" s="281"/>
      <c r="AW26" s="274"/>
      <c r="BW26" s="465"/>
      <c r="BX26" s="464"/>
    </row>
    <row r="27" spans="2:77" ht="11.9" customHeight="1" x14ac:dyDescent="0.25">
      <c r="B27" s="275"/>
      <c r="C27" s="276"/>
      <c r="D27" s="283" t="str">
        <f>'Proposte d''Acquisto'!B18</f>
        <v>DANIELE</v>
      </c>
      <c r="E27" s="278" t="str">
        <f>IF(B27&gt;C27,3,IF(B27&lt;C27,0,IF(B27="","",1)))</f>
        <v/>
      </c>
      <c r="F27" s="278" t="str">
        <f>IF(C27&gt;B27,3,IF(C27&lt;B27,0,IF(C27="","",1)))</f>
        <v/>
      </c>
      <c r="G27" s="279">
        <f>IF(E27=3,1,0)</f>
        <v>0</v>
      </c>
      <c r="H27" s="279">
        <f>IF(E27=1,1,0)</f>
        <v>0</v>
      </c>
      <c r="I27" s="279">
        <f>IF(E27=0,1,0)</f>
        <v>0</v>
      </c>
      <c r="J27" s="279">
        <f>IF(F27=3,1,0)</f>
        <v>0</v>
      </c>
      <c r="K27" s="279">
        <f>IF(F27=1,1,0)</f>
        <v>0</v>
      </c>
      <c r="L27" s="279">
        <f>IF(F27=0,1,0)</f>
        <v>0</v>
      </c>
      <c r="N27" s="283" t="str">
        <f>'Proposte d''Acquisto'!B23</f>
        <v>MOLINA</v>
      </c>
      <c r="O27" s="278" t="str">
        <f>IF(W27&gt;X27,3,IF(W27&lt;X27,0,IF(W27="","",1)))</f>
        <v/>
      </c>
      <c r="P27" s="278" t="str">
        <f>IF(X27&gt;W27,3,IF(X27&lt;W27,0,IF(X27="","",1)))</f>
        <v/>
      </c>
      <c r="Q27" s="279">
        <f>IF(O27=3,1,0)</f>
        <v>0</v>
      </c>
      <c r="R27" s="279">
        <f>IF(O27=1,1,0)</f>
        <v>0</v>
      </c>
      <c r="S27" s="279">
        <f>IF(O27=0,1,0)</f>
        <v>0</v>
      </c>
      <c r="T27" s="279">
        <f>IF(P27=3,1,0)</f>
        <v>0</v>
      </c>
      <c r="U27" s="279">
        <f>IF(P27=1,1,0)</f>
        <v>0</v>
      </c>
      <c r="V27" s="279">
        <f>IF(P27=0,1,0)</f>
        <v>0</v>
      </c>
      <c r="W27" s="275"/>
      <c r="X27" s="276"/>
      <c r="Z27" s="275"/>
      <c r="AA27" s="276"/>
      <c r="AB27" s="283" t="str">
        <f>'Proposte d''Acquisto'!B18</f>
        <v>DANIELE</v>
      </c>
      <c r="AC27" s="278" t="str">
        <f>IF(Z27&gt;AA27,3,IF(Z27&lt;AA27,0,IF(Z27="","",1)))</f>
        <v/>
      </c>
      <c r="AD27" s="278" t="str">
        <f>IF(AA27&gt;Z27,3,IF(AA27&lt;Z27,0,IF(AA27="","",1)))</f>
        <v/>
      </c>
      <c r="AE27" s="279">
        <f>IF(AC27=3,1,0)</f>
        <v>0</v>
      </c>
      <c r="AF27" s="279">
        <f>IF(AC27=1,1,0)</f>
        <v>0</v>
      </c>
      <c r="AG27" s="279">
        <f>IF(AC27=0,1,0)</f>
        <v>0</v>
      </c>
      <c r="AH27" s="279">
        <f>IF(AD27=3,1,0)</f>
        <v>0</v>
      </c>
      <c r="AI27" s="279">
        <f>IF(AD27=1,1,0)</f>
        <v>0</v>
      </c>
      <c r="AJ27" s="279">
        <f>IF(AD27=0,1,0)</f>
        <v>0</v>
      </c>
      <c r="AL27" s="283" t="str">
        <f>'Proposte d''Acquisto'!B23</f>
        <v>MOLINA</v>
      </c>
      <c r="AM27" s="278" t="str">
        <f>IF(AU27&gt;AV27,3,IF(AU27&lt;AV27,0,IF(AU27="","",1)))</f>
        <v/>
      </c>
      <c r="AN27" s="278" t="str">
        <f>IF(AV27&gt;AU27,3,IF(AV27&lt;AU27,0,IF(AV27="","",1)))</f>
        <v/>
      </c>
      <c r="AO27" s="279">
        <f>IF(AM27=3,1,0)</f>
        <v>0</v>
      </c>
      <c r="AP27" s="279">
        <f>IF(AM27=1,1,0)</f>
        <v>0</v>
      </c>
      <c r="AQ27" s="279">
        <f>IF(AM27=0,1,0)</f>
        <v>0</v>
      </c>
      <c r="AR27" s="279">
        <f>IF(AN27=3,1,0)</f>
        <v>0</v>
      </c>
      <c r="AS27" s="279">
        <f>IF(AN27=1,1,0)</f>
        <v>0</v>
      </c>
      <c r="AT27" s="279">
        <f>IF(AN27=0,1,0)</f>
        <v>0</v>
      </c>
      <c r="AU27" s="275"/>
      <c r="AV27" s="276"/>
      <c r="AW27" s="274"/>
      <c r="BW27" s="465"/>
      <c r="BX27" s="464"/>
    </row>
    <row r="28" spans="2:77" ht="11.9" customHeight="1" x14ac:dyDescent="0.25">
      <c r="B28" s="284"/>
      <c r="C28" s="285"/>
      <c r="D28" s="290" t="str">
        <f>'Proposte d''Acquisto'!B8</f>
        <v>RICCARDO</v>
      </c>
      <c r="E28" s="287" t="str">
        <f>IF(B28&gt;C28,3,IF(B28&lt;C28,0,IF(B28="","",1)))</f>
        <v/>
      </c>
      <c r="F28" s="287" t="str">
        <f>IF(C28&gt;B28,3,IF(C28&lt;B28,0,IF(C28="","",1)))</f>
        <v/>
      </c>
      <c r="G28" s="288">
        <f>IF(E28=3,1,0)</f>
        <v>0</v>
      </c>
      <c r="H28" s="288">
        <f>IF(E28=1,1,0)</f>
        <v>0</v>
      </c>
      <c r="I28" s="288">
        <f>IF(E28=0,1,0)</f>
        <v>0</v>
      </c>
      <c r="J28" s="288">
        <f>IF(F28=3,1,0)</f>
        <v>0</v>
      </c>
      <c r="K28" s="288">
        <f>IF(F28=1,1,0)</f>
        <v>0</v>
      </c>
      <c r="L28" s="288">
        <f>IF(F28=0,1,0)</f>
        <v>0</v>
      </c>
      <c r="M28" s="299"/>
      <c r="N28" s="290" t="str">
        <f>'Proposte d''Acquisto'!B38</f>
        <v>DARIO</v>
      </c>
      <c r="O28" s="287" t="str">
        <f>IF(W28&gt;X28,3,IF(W28&lt;X28,0,IF(W28="","",1)))</f>
        <v/>
      </c>
      <c r="P28" s="287" t="str">
        <f>IF(X28&gt;W28,3,IF(X28&lt;W28,0,IF(X28="","",1)))</f>
        <v/>
      </c>
      <c r="Q28" s="288">
        <f>IF(O28=3,1,0)</f>
        <v>0</v>
      </c>
      <c r="R28" s="288">
        <f>IF(O28=1,1,0)</f>
        <v>0</v>
      </c>
      <c r="S28" s="288">
        <f>IF(O28=0,1,0)</f>
        <v>0</v>
      </c>
      <c r="T28" s="288">
        <f>IF(P28=3,1,0)</f>
        <v>0</v>
      </c>
      <c r="U28" s="288">
        <f>IF(P28=1,1,0)</f>
        <v>0</v>
      </c>
      <c r="V28" s="288">
        <f>IF(P28=0,1,0)</f>
        <v>0</v>
      </c>
      <c r="W28" s="284"/>
      <c r="X28" s="285"/>
      <c r="Z28" s="284"/>
      <c r="AA28" s="285"/>
      <c r="AB28" s="290" t="str">
        <f>'Proposte d''Acquisto'!B8</f>
        <v>RICCARDO</v>
      </c>
      <c r="AC28" s="287" t="str">
        <f>IF(Z28&gt;AA28,3,IF(Z28&lt;AA28,0,IF(Z28="","",1)))</f>
        <v/>
      </c>
      <c r="AD28" s="287" t="str">
        <f>IF(AA28&gt;Z28,3,IF(AA28&lt;Z28,0,IF(AA28="","",1)))</f>
        <v/>
      </c>
      <c r="AE28" s="288">
        <f>IF(AC28=3,1,0)</f>
        <v>0</v>
      </c>
      <c r="AF28" s="288">
        <f>IF(AC28=1,1,0)</f>
        <v>0</v>
      </c>
      <c r="AG28" s="288">
        <f>IF(AC28=0,1,0)</f>
        <v>0</v>
      </c>
      <c r="AH28" s="288">
        <f>IF(AD28=3,1,0)</f>
        <v>0</v>
      </c>
      <c r="AI28" s="288">
        <f>IF(AD28=1,1,0)</f>
        <v>0</v>
      </c>
      <c r="AJ28" s="288">
        <f>IF(AD28=0,1,0)</f>
        <v>0</v>
      </c>
      <c r="AK28" s="299"/>
      <c r="AL28" s="290" t="str">
        <f>'Proposte d''Acquisto'!B38</f>
        <v>DARIO</v>
      </c>
      <c r="AM28" s="287" t="str">
        <f>IF(AU28&gt;AV28,3,IF(AU28&lt;AV28,0,IF(AU28="","",1)))</f>
        <v/>
      </c>
      <c r="AN28" s="287" t="str">
        <f>IF(AV28&gt;AU28,3,IF(AV28&lt;AU28,0,IF(AV28="","",1)))</f>
        <v/>
      </c>
      <c r="AO28" s="288">
        <f>IF(AM28=3,1,0)</f>
        <v>0</v>
      </c>
      <c r="AP28" s="288">
        <f>IF(AM28=1,1,0)</f>
        <v>0</v>
      </c>
      <c r="AQ28" s="288">
        <f>IF(AM28=0,1,0)</f>
        <v>0</v>
      </c>
      <c r="AR28" s="288">
        <f>IF(AN28=3,1,0)</f>
        <v>0</v>
      </c>
      <c r="AS28" s="288">
        <f>IF(AN28=1,1,0)</f>
        <v>0</v>
      </c>
      <c r="AT28" s="288">
        <f>IF(AN28=0,1,0)</f>
        <v>0</v>
      </c>
      <c r="AU28" s="284"/>
      <c r="AV28" s="285"/>
      <c r="AW28" s="274"/>
      <c r="BW28" s="465"/>
      <c r="BX28" s="464"/>
    </row>
    <row r="29" spans="2:77" ht="11.9" customHeight="1" x14ac:dyDescent="0.25">
      <c r="AW29" s="274"/>
      <c r="BW29" s="465"/>
      <c r="BX29" s="464"/>
    </row>
    <row r="30" spans="2:77" ht="11.9" customHeight="1" x14ac:dyDescent="0.25">
      <c r="AW30" s="274"/>
      <c r="BW30" s="465"/>
      <c r="BX30" s="464"/>
    </row>
    <row r="31" spans="2:77" ht="11.9" customHeight="1" x14ac:dyDescent="0.25">
      <c r="B31" s="430" t="s">
        <v>0</v>
      </c>
      <c r="C31" s="434"/>
      <c r="D31" s="432" t="s">
        <v>23</v>
      </c>
      <c r="E31" s="432"/>
      <c r="F31" s="432"/>
      <c r="G31" s="432"/>
      <c r="H31" s="432"/>
      <c r="I31" s="432"/>
      <c r="J31" s="432"/>
      <c r="K31" s="432"/>
      <c r="L31" s="432"/>
      <c r="M31" s="432"/>
      <c r="N31" s="432"/>
      <c r="O31" s="297"/>
      <c r="P31" s="297"/>
      <c r="Q31" s="297"/>
      <c r="R31" s="297"/>
      <c r="S31" s="297"/>
      <c r="T31" s="297"/>
      <c r="U31" s="297"/>
      <c r="V31" s="297"/>
      <c r="W31" s="431" t="s">
        <v>2</v>
      </c>
      <c r="X31" s="435"/>
      <c r="Z31" s="430" t="s">
        <v>0</v>
      </c>
      <c r="AA31" s="431"/>
      <c r="AB31" s="432" t="s">
        <v>24</v>
      </c>
      <c r="AC31" s="432"/>
      <c r="AD31" s="432"/>
      <c r="AE31" s="432"/>
      <c r="AF31" s="432"/>
      <c r="AG31" s="432"/>
      <c r="AH31" s="432"/>
      <c r="AI31" s="432"/>
      <c r="AJ31" s="432"/>
      <c r="AK31" s="432"/>
      <c r="AL31" s="432"/>
      <c r="AM31" s="297"/>
      <c r="AN31" s="297"/>
      <c r="AO31" s="297"/>
      <c r="AP31" s="297"/>
      <c r="AQ31" s="297"/>
      <c r="AR31" s="297"/>
      <c r="AS31" s="297"/>
      <c r="AT31" s="297"/>
      <c r="AU31" s="431" t="s">
        <v>2</v>
      </c>
      <c r="AV31" s="433"/>
      <c r="AW31" s="274"/>
      <c r="BW31" s="465"/>
      <c r="BX31" s="464"/>
    </row>
    <row r="32" spans="2:77" ht="11.9" customHeight="1" x14ac:dyDescent="0.25">
      <c r="B32" s="275"/>
      <c r="C32" s="276"/>
      <c r="D32" s="283" t="str">
        <f>'Proposte d''Acquisto'!B13</f>
        <v>FABRIZIO</v>
      </c>
      <c r="E32" s="278" t="str">
        <f>IF(B32&gt;C32,3,IF(B32&lt;C32,0,IF(B32="","",1)))</f>
        <v/>
      </c>
      <c r="F32" s="278" t="str">
        <f>IF(C32&gt;B32,3,IF(C32&lt;B32,0,IF(C32="","",1)))</f>
        <v/>
      </c>
      <c r="G32" s="279">
        <f>IF(E32=3,1,0)</f>
        <v>0</v>
      </c>
      <c r="H32" s="279">
        <f>IF(E32=1,1,0)</f>
        <v>0</v>
      </c>
      <c r="I32" s="279">
        <f>IF(E32=0,1,0)</f>
        <v>0</v>
      </c>
      <c r="J32" s="279">
        <f>IF(F32=3,1,0)</f>
        <v>0</v>
      </c>
      <c r="K32" s="279">
        <f>IF(F32=1,1,0)</f>
        <v>0</v>
      </c>
      <c r="L32" s="279">
        <f>IF(F32=0,1,0)</f>
        <v>0</v>
      </c>
      <c r="N32" s="283" t="str">
        <f>'Proposte d''Acquisto'!B18</f>
        <v>DANIELE</v>
      </c>
      <c r="O32" s="278" t="str">
        <f>IF(W32&gt;X32,3,IF(W32&lt;X32,0,IF(W32="","",1)))</f>
        <v/>
      </c>
      <c r="P32" s="278" t="str">
        <f>IF(X32&gt;W32,3,IF(X32&lt;W32,0,IF(X32="","",1)))</f>
        <v/>
      </c>
      <c r="Q32" s="279">
        <f>IF(O32=3,1,0)</f>
        <v>0</v>
      </c>
      <c r="R32" s="279">
        <f>IF(O32=1,1,0)</f>
        <v>0</v>
      </c>
      <c r="S32" s="279">
        <f>IF(O32=0,1,0)</f>
        <v>0</v>
      </c>
      <c r="T32" s="279">
        <f>IF(P32=3,1,0)</f>
        <v>0</v>
      </c>
      <c r="U32" s="279">
        <f>IF(P32=1,1,0)</f>
        <v>0</v>
      </c>
      <c r="V32" s="279">
        <f>IF(P32=0,1,0)</f>
        <v>0</v>
      </c>
      <c r="W32" s="275"/>
      <c r="X32" s="276"/>
      <c r="Z32" s="275"/>
      <c r="AA32" s="302"/>
      <c r="AB32" s="283" t="str">
        <f>'Proposte d''Acquisto'!B13</f>
        <v>FABRIZIO</v>
      </c>
      <c r="AC32" s="278" t="str">
        <f>IF(Z32&gt;AA32,3,IF(Z32&lt;AA32,0,IF(Z32="","",1)))</f>
        <v/>
      </c>
      <c r="AD32" s="278" t="str">
        <f>IF(AA32&gt;Z32,3,IF(AA32&lt;Z32,0,IF(AA32="","",1)))</f>
        <v/>
      </c>
      <c r="AE32" s="279">
        <f>IF(AC32=3,1,0)</f>
        <v>0</v>
      </c>
      <c r="AF32" s="279">
        <f>IF(AC32=1,1,0)</f>
        <v>0</v>
      </c>
      <c r="AG32" s="279">
        <f>IF(AC32=0,1,0)</f>
        <v>0</v>
      </c>
      <c r="AH32" s="279">
        <f>IF(AD32=3,1,0)</f>
        <v>0</v>
      </c>
      <c r="AI32" s="279">
        <f>IF(AD32=1,1,0)</f>
        <v>0</v>
      </c>
      <c r="AJ32" s="279">
        <f>IF(AD32=0,1,0)</f>
        <v>0</v>
      </c>
      <c r="AL32" s="283" t="str">
        <f>'Proposte d''Acquisto'!B18</f>
        <v>DANIELE</v>
      </c>
      <c r="AM32" s="278" t="str">
        <f>IF(AU32&gt;AV32,3,IF(AU32&lt;AV32,0,IF(AU32="","",1)))</f>
        <v/>
      </c>
      <c r="AN32" s="278" t="str">
        <f>IF(AV32&gt;AU32,3,IF(AV32&lt;AU32,0,IF(AV32="","",1)))</f>
        <v/>
      </c>
      <c r="AO32" s="279">
        <f>IF(AM32=3,1,0)</f>
        <v>0</v>
      </c>
      <c r="AP32" s="279">
        <f>IF(AM32=1,1,0)</f>
        <v>0</v>
      </c>
      <c r="AQ32" s="279">
        <f>IF(AM32=0,1,0)</f>
        <v>0</v>
      </c>
      <c r="AR32" s="279">
        <f>IF(AN32=3,1,0)</f>
        <v>0</v>
      </c>
      <c r="AS32" s="279">
        <f>IF(AN32=1,1,0)</f>
        <v>0</v>
      </c>
      <c r="AT32" s="279">
        <f>IF(AN32=0,1,0)</f>
        <v>0</v>
      </c>
      <c r="AU32" s="275"/>
      <c r="AV32" s="276"/>
      <c r="AW32" s="274"/>
      <c r="BW32" s="465"/>
      <c r="BX32" s="464"/>
    </row>
    <row r="33" spans="2:76" ht="11.9" customHeight="1" x14ac:dyDescent="0.25">
      <c r="B33" s="280"/>
      <c r="C33" s="281"/>
      <c r="D33" s="282" t="str">
        <f>'Proposte d''Acquisto'!B23</f>
        <v>MOLINA</v>
      </c>
      <c r="E33" s="278" t="str">
        <f>IF(B33&gt;C33,3,IF(B33&lt;C33,0,IF(B33="","",1)))</f>
        <v/>
      </c>
      <c r="F33" s="278" t="str">
        <f>IF(C33&gt;B33,3,IF(C33&lt;B33,0,IF(C33="","",1)))</f>
        <v/>
      </c>
      <c r="G33" s="279">
        <f>IF(E33=3,1,0)</f>
        <v>0</v>
      </c>
      <c r="H33" s="279">
        <f>IF(E33=1,1,0)</f>
        <v>0</v>
      </c>
      <c r="I33" s="279">
        <f>IF(E33=0,1,0)</f>
        <v>0</v>
      </c>
      <c r="J33" s="279">
        <f>IF(F33=3,1,0)</f>
        <v>0</v>
      </c>
      <c r="K33" s="279">
        <f>IF(F33=1,1,0)</f>
        <v>0</v>
      </c>
      <c r="L33" s="279">
        <f>IF(F33=0,1,0)</f>
        <v>0</v>
      </c>
      <c r="M33" s="298"/>
      <c r="N33" s="282" t="str">
        <f>'Proposte d''Acquisto'!B8</f>
        <v>RICCARDO</v>
      </c>
      <c r="O33" s="278" t="str">
        <f>IF(W33&gt;X33,3,IF(W33&lt;X33,0,IF(W33="","",1)))</f>
        <v/>
      </c>
      <c r="P33" s="278" t="str">
        <f>IF(X33&gt;W33,3,IF(X33&lt;W33,0,IF(X33="","",1)))</f>
        <v/>
      </c>
      <c r="Q33" s="279">
        <f>IF(O33=3,1,0)</f>
        <v>0</v>
      </c>
      <c r="R33" s="279">
        <f>IF(O33=1,1,0)</f>
        <v>0</v>
      </c>
      <c r="S33" s="279">
        <f>IF(O33=0,1,0)</f>
        <v>0</v>
      </c>
      <c r="T33" s="279">
        <f>IF(P33=3,1,0)</f>
        <v>0</v>
      </c>
      <c r="U33" s="279">
        <f>IF(P33=1,1,0)</f>
        <v>0</v>
      </c>
      <c r="V33" s="279">
        <f>IF(P33=0,1,0)</f>
        <v>0</v>
      </c>
      <c r="W33" s="280"/>
      <c r="X33" s="281"/>
      <c r="Z33" s="280"/>
      <c r="AA33" s="281"/>
      <c r="AB33" s="282" t="str">
        <f>'Proposte d''Acquisto'!B23</f>
        <v>MOLINA</v>
      </c>
      <c r="AC33" s="278" t="str">
        <f>IF(Z33&gt;AA33,3,IF(Z33&lt;AA33,0,IF(Z33="","",1)))</f>
        <v/>
      </c>
      <c r="AD33" s="278" t="str">
        <f>IF(AA33&gt;Z33,3,IF(AA33&lt;Z33,0,IF(AA33="","",1)))</f>
        <v/>
      </c>
      <c r="AE33" s="279">
        <f>IF(AC33=3,1,0)</f>
        <v>0</v>
      </c>
      <c r="AF33" s="279">
        <f>IF(AC33=1,1,0)</f>
        <v>0</v>
      </c>
      <c r="AG33" s="279">
        <f>IF(AC33=0,1,0)</f>
        <v>0</v>
      </c>
      <c r="AH33" s="279">
        <f>IF(AD33=3,1,0)</f>
        <v>0</v>
      </c>
      <c r="AI33" s="279">
        <f>IF(AD33=1,1,0)</f>
        <v>0</v>
      </c>
      <c r="AJ33" s="279">
        <f>IF(AD33=0,1,0)</f>
        <v>0</v>
      </c>
      <c r="AK33" s="298"/>
      <c r="AL33" s="282" t="str">
        <f>'Proposte d''Acquisto'!B8</f>
        <v>RICCARDO</v>
      </c>
      <c r="AM33" s="278" t="str">
        <f>IF(AU33&gt;AV33,3,IF(AU33&lt;AV33,0,IF(AU33="","",1)))</f>
        <v/>
      </c>
      <c r="AN33" s="278" t="str">
        <f>IF(AV33&gt;AU33,3,IF(AV33&lt;AU33,0,IF(AV33="","",1)))</f>
        <v/>
      </c>
      <c r="AO33" s="279">
        <f>IF(AM33=3,1,0)</f>
        <v>0</v>
      </c>
      <c r="AP33" s="279">
        <f>IF(AM33=1,1,0)</f>
        <v>0</v>
      </c>
      <c r="AQ33" s="279">
        <f>IF(AM33=0,1,0)</f>
        <v>0</v>
      </c>
      <c r="AR33" s="279">
        <f>IF(AN33=3,1,0)</f>
        <v>0</v>
      </c>
      <c r="AS33" s="279">
        <f>IF(AN33=1,1,0)</f>
        <v>0</v>
      </c>
      <c r="AT33" s="279">
        <f>IF(AN33=0,1,0)</f>
        <v>0</v>
      </c>
      <c r="AU33" s="280"/>
      <c r="AV33" s="281"/>
      <c r="AW33" s="274"/>
      <c r="BW33" s="465"/>
      <c r="BX33" s="464"/>
    </row>
    <row r="34" spans="2:76" ht="11.9" customHeight="1" x14ac:dyDescent="0.25">
      <c r="B34" s="275"/>
      <c r="C34" s="276"/>
      <c r="D34" s="283" t="str">
        <f>'Proposte d''Acquisto'!B38</f>
        <v>DARIO</v>
      </c>
      <c r="E34" s="278" t="str">
        <f>IF(B34&gt;C34,3,IF(B34&lt;C34,0,IF(B34="","",1)))</f>
        <v/>
      </c>
      <c r="F34" s="278" t="str">
        <f>IF(C34&gt;B34,3,IF(C34&lt;B34,0,IF(C34="","",1)))</f>
        <v/>
      </c>
      <c r="G34" s="279">
        <f>IF(E34=3,1,0)</f>
        <v>0</v>
      </c>
      <c r="H34" s="279">
        <f>IF(E34=1,1,0)</f>
        <v>0</v>
      </c>
      <c r="I34" s="279">
        <f>IF(E34=0,1,0)</f>
        <v>0</v>
      </c>
      <c r="J34" s="279">
        <f>IF(F34=3,1,0)</f>
        <v>0</v>
      </c>
      <c r="K34" s="279">
        <f>IF(F34=1,1,0)</f>
        <v>0</v>
      </c>
      <c r="L34" s="279">
        <f>IF(F34=0,1,0)</f>
        <v>0</v>
      </c>
      <c r="N34" s="283" t="str">
        <f>'Proposte d''Acquisto'!B3</f>
        <v>ENRICO</v>
      </c>
      <c r="O34" s="278" t="str">
        <f>IF(W34&gt;X34,3,IF(W34&lt;X34,0,IF(W34="","",1)))</f>
        <v/>
      </c>
      <c r="P34" s="278" t="str">
        <f>IF(X34&gt;W34,3,IF(X34&lt;W34,0,IF(X34="","",1)))</f>
        <v/>
      </c>
      <c r="Q34" s="279">
        <f>IF(O34=3,1,0)</f>
        <v>0</v>
      </c>
      <c r="R34" s="279">
        <f>IF(O34=1,1,0)</f>
        <v>0</v>
      </c>
      <c r="S34" s="279">
        <f>IF(O34=0,1,0)</f>
        <v>0</v>
      </c>
      <c r="T34" s="279">
        <f>IF(P34=3,1,0)</f>
        <v>0</v>
      </c>
      <c r="U34" s="279">
        <f>IF(P34=1,1,0)</f>
        <v>0</v>
      </c>
      <c r="V34" s="279">
        <f>IF(P34=0,1,0)</f>
        <v>0</v>
      </c>
      <c r="W34" s="275"/>
      <c r="X34" s="276"/>
      <c r="Z34" s="275"/>
      <c r="AA34" s="276"/>
      <c r="AB34" s="283" t="str">
        <f>'Proposte d''Acquisto'!B38</f>
        <v>DARIO</v>
      </c>
      <c r="AC34" s="278" t="str">
        <f>IF(Z34&gt;AA34,3,IF(Z34&lt;AA34,0,IF(Z34="","",1)))</f>
        <v/>
      </c>
      <c r="AD34" s="278" t="str">
        <f>IF(AA34&gt;Z34,3,IF(AA34&lt;Z34,0,IF(AA34="","",1)))</f>
        <v/>
      </c>
      <c r="AE34" s="279">
        <f>IF(AC34=3,1,0)</f>
        <v>0</v>
      </c>
      <c r="AF34" s="279">
        <f>IF(AC34=1,1,0)</f>
        <v>0</v>
      </c>
      <c r="AG34" s="279">
        <f>IF(AC34=0,1,0)</f>
        <v>0</v>
      </c>
      <c r="AH34" s="279">
        <f>IF(AD34=3,1,0)</f>
        <v>0</v>
      </c>
      <c r="AI34" s="279">
        <f>IF(AD34=1,1,0)</f>
        <v>0</v>
      </c>
      <c r="AJ34" s="279">
        <f>IF(AD34=0,1,0)</f>
        <v>0</v>
      </c>
      <c r="AL34" s="283" t="str">
        <f>'Proposte d''Acquisto'!B3</f>
        <v>ENRICO</v>
      </c>
      <c r="AM34" s="278" t="str">
        <f>IF(AU34&gt;AV34,3,IF(AU34&lt;AV34,0,IF(AU34="","",1)))</f>
        <v/>
      </c>
      <c r="AN34" s="278" t="str">
        <f>IF(AV34&gt;AU34,3,IF(AV34&lt;AU34,0,IF(AV34="","",1)))</f>
        <v/>
      </c>
      <c r="AO34" s="279">
        <f>IF(AM34=3,1,0)</f>
        <v>0</v>
      </c>
      <c r="AP34" s="279">
        <f>IF(AM34=1,1,0)</f>
        <v>0</v>
      </c>
      <c r="AQ34" s="279">
        <f>IF(AM34=0,1,0)</f>
        <v>0</v>
      </c>
      <c r="AR34" s="279">
        <f>IF(AN34=3,1,0)</f>
        <v>0</v>
      </c>
      <c r="AS34" s="279">
        <f>IF(AN34=1,1,0)</f>
        <v>0</v>
      </c>
      <c r="AT34" s="279">
        <f>IF(AN34=0,1,0)</f>
        <v>0</v>
      </c>
      <c r="AU34" s="275"/>
      <c r="AV34" s="276"/>
      <c r="AW34" s="274"/>
      <c r="BW34" s="465"/>
      <c r="BX34" s="464"/>
    </row>
    <row r="35" spans="2:76" ht="11.9" customHeight="1" x14ac:dyDescent="0.25">
      <c r="B35" s="284"/>
      <c r="C35" s="285"/>
      <c r="D35" s="290" t="str">
        <f>'Proposte d''Acquisto'!B33</f>
        <v>VINCENZO</v>
      </c>
      <c r="E35" s="287" t="str">
        <f>IF(B35&gt;C35,3,IF(B35&lt;C35,0,IF(B35="","",1)))</f>
        <v/>
      </c>
      <c r="F35" s="287" t="str">
        <f>IF(C35&gt;B35,3,IF(C35&lt;B35,0,IF(C35="","",1)))</f>
        <v/>
      </c>
      <c r="G35" s="288">
        <f>IF(E35=3,1,0)</f>
        <v>0</v>
      </c>
      <c r="H35" s="288">
        <f>IF(E35=1,1,0)</f>
        <v>0</v>
      </c>
      <c r="I35" s="288">
        <f>IF(E35=0,1,0)</f>
        <v>0</v>
      </c>
      <c r="J35" s="288">
        <f>IF(F35=3,1,0)</f>
        <v>0</v>
      </c>
      <c r="K35" s="288">
        <f>IF(F35=1,1,0)</f>
        <v>0</v>
      </c>
      <c r="L35" s="288">
        <f>IF(F35=0,1,0)</f>
        <v>0</v>
      </c>
      <c r="M35" s="299"/>
      <c r="N35" s="290" t="str">
        <f>'Proposte d''Acquisto'!B28</f>
        <v>EUGENIO</v>
      </c>
      <c r="O35" s="287" t="str">
        <f>IF(W35&gt;X35,3,IF(W35&lt;X35,0,IF(W35="","",1)))</f>
        <v/>
      </c>
      <c r="P35" s="287" t="str">
        <f>IF(X35&gt;W35,3,IF(X35&lt;W35,0,IF(X35="","",1)))</f>
        <v/>
      </c>
      <c r="Q35" s="288">
        <f>IF(O35=3,1,0)</f>
        <v>0</v>
      </c>
      <c r="R35" s="288">
        <f>IF(O35=1,1,0)</f>
        <v>0</v>
      </c>
      <c r="S35" s="288">
        <f>IF(O35=0,1,0)</f>
        <v>0</v>
      </c>
      <c r="T35" s="288">
        <f>IF(P35=3,1,0)</f>
        <v>0</v>
      </c>
      <c r="U35" s="288">
        <f>IF(P35=1,1,0)</f>
        <v>0</v>
      </c>
      <c r="V35" s="288">
        <f>IF(P35=0,1,0)</f>
        <v>0</v>
      </c>
      <c r="W35" s="284"/>
      <c r="X35" s="285"/>
      <c r="Z35" s="284"/>
      <c r="AA35" s="285"/>
      <c r="AB35" s="290" t="str">
        <f>'Proposte d''Acquisto'!B33</f>
        <v>VINCENZO</v>
      </c>
      <c r="AC35" s="287" t="str">
        <f>IF(Z35&gt;AA35,3,IF(Z35&lt;AA35,0,IF(Z35="","",1)))</f>
        <v/>
      </c>
      <c r="AD35" s="287" t="str">
        <f>IF(AA35&gt;Z35,3,IF(AA35&lt;Z35,0,IF(AA35="","",1)))</f>
        <v/>
      </c>
      <c r="AE35" s="288">
        <f>IF(AC35=3,1,0)</f>
        <v>0</v>
      </c>
      <c r="AF35" s="288">
        <f>IF(AC35=1,1,0)</f>
        <v>0</v>
      </c>
      <c r="AG35" s="288">
        <f>IF(AC35=0,1,0)</f>
        <v>0</v>
      </c>
      <c r="AH35" s="288">
        <f>IF(AD35=3,1,0)</f>
        <v>0</v>
      </c>
      <c r="AI35" s="288">
        <f>IF(AD35=1,1,0)</f>
        <v>0</v>
      </c>
      <c r="AJ35" s="288">
        <f>IF(AD35=0,1,0)</f>
        <v>0</v>
      </c>
      <c r="AK35" s="299"/>
      <c r="AL35" s="290" t="str">
        <f>'Proposte d''Acquisto'!B28</f>
        <v>EUGENIO</v>
      </c>
      <c r="AM35" s="287" t="str">
        <f>IF(AU35&gt;AV35,3,IF(AU35&lt;AV35,0,IF(AU35="","",1)))</f>
        <v/>
      </c>
      <c r="AN35" s="287" t="str">
        <f>IF(AV35&gt;AU35,3,IF(AV35&lt;AU35,0,IF(AV35="","",1)))</f>
        <v/>
      </c>
      <c r="AO35" s="288">
        <f>IF(AM35=3,1,0)</f>
        <v>0</v>
      </c>
      <c r="AP35" s="288">
        <f>IF(AM35=1,1,0)</f>
        <v>0</v>
      </c>
      <c r="AQ35" s="288">
        <f>IF(AM35=0,1,0)</f>
        <v>0</v>
      </c>
      <c r="AR35" s="288">
        <f>IF(AN35=3,1,0)</f>
        <v>0</v>
      </c>
      <c r="AS35" s="288">
        <f>IF(AN35=1,1,0)</f>
        <v>0</v>
      </c>
      <c r="AT35" s="288">
        <f>IF(AN35=0,1,0)</f>
        <v>0</v>
      </c>
      <c r="AU35" s="284"/>
      <c r="AV35" s="285"/>
      <c r="AW35" s="274"/>
      <c r="BW35" s="465"/>
      <c r="BX35" s="464"/>
    </row>
    <row r="36" spans="2:76" ht="11.9" customHeight="1" x14ac:dyDescent="0.25">
      <c r="AW36" s="274"/>
      <c r="BW36" s="465"/>
      <c r="BX36" s="464"/>
    </row>
    <row r="37" spans="2:76" ht="11.9" customHeight="1" x14ac:dyDescent="0.25">
      <c r="AW37" s="274"/>
      <c r="BW37" s="465"/>
      <c r="BX37" s="464"/>
    </row>
    <row r="38" spans="2:76" ht="11.9" customHeight="1" x14ac:dyDescent="0.25">
      <c r="B38" s="430" t="s">
        <v>0</v>
      </c>
      <c r="C38" s="434"/>
      <c r="D38" s="432" t="s">
        <v>25</v>
      </c>
      <c r="E38" s="432"/>
      <c r="F38" s="432"/>
      <c r="G38" s="432"/>
      <c r="H38" s="432"/>
      <c r="I38" s="432"/>
      <c r="J38" s="432"/>
      <c r="K38" s="432"/>
      <c r="L38" s="432"/>
      <c r="M38" s="432"/>
      <c r="N38" s="432"/>
      <c r="O38" s="297"/>
      <c r="P38" s="297"/>
      <c r="Q38" s="301"/>
      <c r="R38" s="301"/>
      <c r="S38" s="301"/>
      <c r="T38" s="301"/>
      <c r="U38" s="301"/>
      <c r="V38" s="301"/>
      <c r="W38" s="431" t="s">
        <v>2</v>
      </c>
      <c r="X38" s="435"/>
      <c r="Z38" s="430" t="s">
        <v>0</v>
      </c>
      <c r="AA38" s="431"/>
      <c r="AB38" s="432" t="s">
        <v>26</v>
      </c>
      <c r="AC38" s="432"/>
      <c r="AD38" s="432"/>
      <c r="AE38" s="432"/>
      <c r="AF38" s="432"/>
      <c r="AG38" s="432"/>
      <c r="AH38" s="432"/>
      <c r="AI38" s="432"/>
      <c r="AJ38" s="432"/>
      <c r="AK38" s="432"/>
      <c r="AL38" s="432"/>
      <c r="AM38" s="301"/>
      <c r="AN38" s="301"/>
      <c r="AO38" s="301"/>
      <c r="AP38" s="301"/>
      <c r="AQ38" s="301"/>
      <c r="AR38" s="301"/>
      <c r="AS38" s="301"/>
      <c r="AT38" s="301"/>
      <c r="AU38" s="431" t="s">
        <v>2</v>
      </c>
      <c r="AV38" s="435"/>
      <c r="AW38" s="274"/>
      <c r="BW38" s="465"/>
      <c r="BX38" s="464"/>
    </row>
    <row r="39" spans="2:76" ht="11.9" customHeight="1" x14ac:dyDescent="0.25">
      <c r="B39" s="275"/>
      <c r="C39" s="276"/>
      <c r="D39" s="283" t="str">
        <f>'Proposte d''Acquisto'!B8</f>
        <v>RICCARDO</v>
      </c>
      <c r="E39" s="278" t="str">
        <f>IF(B39&gt;C39,3,IF(B39&lt;C39,0,IF(B39="","",1)))</f>
        <v/>
      </c>
      <c r="F39" s="278" t="str">
        <f>IF(C39&gt;B39,3,IF(C39&lt;B39,0,IF(C39="","",1)))</f>
        <v/>
      </c>
      <c r="G39" s="279">
        <f>IF(E39=3,1,0)</f>
        <v>0</v>
      </c>
      <c r="H39" s="279">
        <f>IF(E39=1,1,0)</f>
        <v>0</v>
      </c>
      <c r="I39" s="279">
        <f>IF(E39=0,1,0)</f>
        <v>0</v>
      </c>
      <c r="J39" s="279">
        <f>IF(F39=3,1,0)</f>
        <v>0</v>
      </c>
      <c r="K39" s="279">
        <f>IF(F39=1,1,0)</f>
        <v>0</v>
      </c>
      <c r="L39" s="279">
        <f>IF(F39=0,1,0)</f>
        <v>0</v>
      </c>
      <c r="N39" s="283" t="str">
        <f>'Proposte d''Acquisto'!B18</f>
        <v>DANIELE</v>
      </c>
      <c r="O39" s="278" t="str">
        <f>IF(W39&gt;X39,3,IF(W39&lt;X39,0,IF(W39="","",1)))</f>
        <v/>
      </c>
      <c r="P39" s="278" t="str">
        <f>IF(X39&gt;W39,3,IF(X39&lt;W39,0,IF(X39="","",1)))</f>
        <v/>
      </c>
      <c r="Q39" s="279">
        <f>IF(O39=3,1,0)</f>
        <v>0</v>
      </c>
      <c r="R39" s="279">
        <f>IF(O39=1,1,0)</f>
        <v>0</v>
      </c>
      <c r="S39" s="279">
        <f>IF(O39=0,1,0)</f>
        <v>0</v>
      </c>
      <c r="T39" s="279">
        <f>IF(P39=3,1,0)</f>
        <v>0</v>
      </c>
      <c r="U39" s="279">
        <f>IF(P39=1,1,0)</f>
        <v>0</v>
      </c>
      <c r="V39" s="279">
        <f>IF(P39=0,1,0)</f>
        <v>0</v>
      </c>
      <c r="W39" s="275"/>
      <c r="X39" s="276"/>
      <c r="Z39" s="275"/>
      <c r="AA39" s="302"/>
      <c r="AB39" s="283" t="str">
        <f>'Proposte d''Acquisto'!B8</f>
        <v>RICCARDO</v>
      </c>
      <c r="AC39" s="278" t="str">
        <f>IF(Z39&gt;AA39,3,IF(Z39&lt;AA39,0,IF(Z39="","",1)))</f>
        <v/>
      </c>
      <c r="AD39" s="278" t="str">
        <f>IF(AA39&gt;Z39,3,IF(AA39&lt;Z39,0,IF(AA39="","",1)))</f>
        <v/>
      </c>
      <c r="AE39" s="279">
        <f>IF(AC39=3,1,0)</f>
        <v>0</v>
      </c>
      <c r="AF39" s="279">
        <f>IF(AC39=1,1,0)</f>
        <v>0</v>
      </c>
      <c r="AG39" s="279">
        <f>IF(AC39=0,1,0)</f>
        <v>0</v>
      </c>
      <c r="AH39" s="279">
        <f>IF(AD39=3,1,0)</f>
        <v>0</v>
      </c>
      <c r="AI39" s="279">
        <f>IF(AD39=1,1,0)</f>
        <v>0</v>
      </c>
      <c r="AJ39" s="279">
        <f>IF(AD39=0,1,0)</f>
        <v>0</v>
      </c>
      <c r="AL39" s="283" t="str">
        <f>'Proposte d''Acquisto'!B18</f>
        <v>DANIELE</v>
      </c>
      <c r="AM39" s="278" t="str">
        <f>IF(AU39&gt;AV39,3,IF(AU39&lt;AV39,0,IF(AU39="","",1)))</f>
        <v/>
      </c>
      <c r="AN39" s="278" t="str">
        <f>IF(AV39&gt;AU39,3,IF(AV39&lt;AU39,0,IF(AV39="","",1)))</f>
        <v/>
      </c>
      <c r="AO39" s="279">
        <f>IF(AM39=3,1,0)</f>
        <v>0</v>
      </c>
      <c r="AP39" s="279">
        <f>IF(AM39=1,1,0)</f>
        <v>0</v>
      </c>
      <c r="AQ39" s="279">
        <f>IF(AM39=0,1,0)</f>
        <v>0</v>
      </c>
      <c r="AR39" s="279">
        <f>IF(AN39=3,1,0)</f>
        <v>0</v>
      </c>
      <c r="AS39" s="279">
        <f>IF(AN39=1,1,0)</f>
        <v>0</v>
      </c>
      <c r="AT39" s="279">
        <f>IF(AN39=0,1,0)</f>
        <v>0</v>
      </c>
      <c r="AU39" s="275"/>
      <c r="AV39" s="276"/>
      <c r="AW39" s="274"/>
      <c r="BW39" s="465"/>
      <c r="BX39" s="464"/>
    </row>
    <row r="40" spans="2:76" ht="11.9" customHeight="1" x14ac:dyDescent="0.25">
      <c r="B40" s="280"/>
      <c r="C40" s="281"/>
      <c r="D40" s="282" t="str">
        <f>'Proposte d''Acquisto'!B3</f>
        <v>ENRICO</v>
      </c>
      <c r="E40" s="278" t="str">
        <f>IF(B40&gt;C40,3,IF(B40&lt;C40,0,IF(B40="","",1)))</f>
        <v/>
      </c>
      <c r="F40" s="278" t="str">
        <f>IF(C40&gt;B40,3,IF(C40&lt;B40,0,IF(C40="","",1)))</f>
        <v/>
      </c>
      <c r="G40" s="279">
        <f>IF(E40=3,1,0)</f>
        <v>0</v>
      </c>
      <c r="H40" s="279">
        <f>IF(E40=1,1,0)</f>
        <v>0</v>
      </c>
      <c r="I40" s="279">
        <f>IF(E40=0,1,0)</f>
        <v>0</v>
      </c>
      <c r="J40" s="279">
        <f>IF(F40=3,1,0)</f>
        <v>0</v>
      </c>
      <c r="K40" s="279">
        <f>IF(F40=1,1,0)</f>
        <v>0</v>
      </c>
      <c r="L40" s="279">
        <f>IF(F40=0,1,0)</f>
        <v>0</v>
      </c>
      <c r="M40" s="298"/>
      <c r="N40" s="282" t="str">
        <f>'Proposte d''Acquisto'!B13</f>
        <v>FABRIZIO</v>
      </c>
      <c r="O40" s="278" t="str">
        <f>IF(W40&gt;X40,3,IF(W40&lt;X40,0,IF(W40="","",1)))</f>
        <v/>
      </c>
      <c r="P40" s="278" t="str">
        <f>IF(X40&gt;W40,3,IF(X40&lt;W40,0,IF(X40="","",1)))</f>
        <v/>
      </c>
      <c r="Q40" s="279">
        <f>IF(O40=3,1,0)</f>
        <v>0</v>
      </c>
      <c r="R40" s="279">
        <f>IF(O40=1,1,0)</f>
        <v>0</v>
      </c>
      <c r="S40" s="279">
        <f>IF(O40=0,1,0)</f>
        <v>0</v>
      </c>
      <c r="T40" s="279">
        <f>IF(P40=3,1,0)</f>
        <v>0</v>
      </c>
      <c r="U40" s="279">
        <f>IF(P40=1,1,0)</f>
        <v>0</v>
      </c>
      <c r="V40" s="279">
        <f>IF(P40=0,1,0)</f>
        <v>0</v>
      </c>
      <c r="W40" s="280"/>
      <c r="X40" s="281"/>
      <c r="Z40" s="280"/>
      <c r="AA40" s="281"/>
      <c r="AB40" s="282" t="str">
        <f>'Proposte d''Acquisto'!B3</f>
        <v>ENRICO</v>
      </c>
      <c r="AC40" s="278" t="str">
        <f>IF(Z40&gt;AA40,3,IF(Z40&lt;AA40,0,IF(Z40="","",1)))</f>
        <v/>
      </c>
      <c r="AD40" s="278" t="str">
        <f>IF(AA40&gt;Z40,3,IF(AA40&lt;Z40,0,IF(AA40="","",1)))</f>
        <v/>
      </c>
      <c r="AE40" s="279">
        <f>IF(AC40=3,1,0)</f>
        <v>0</v>
      </c>
      <c r="AF40" s="279">
        <f>IF(AC40=1,1,0)</f>
        <v>0</v>
      </c>
      <c r="AG40" s="279">
        <f>IF(AC40=0,1,0)</f>
        <v>0</v>
      </c>
      <c r="AH40" s="279">
        <f>IF(AD40=3,1,0)</f>
        <v>0</v>
      </c>
      <c r="AI40" s="279">
        <f>IF(AD40=1,1,0)</f>
        <v>0</v>
      </c>
      <c r="AJ40" s="279">
        <f>IF(AD40=0,1,0)</f>
        <v>0</v>
      </c>
      <c r="AK40" s="298"/>
      <c r="AL40" s="282" t="str">
        <f>'Proposte d''Acquisto'!B13</f>
        <v>FABRIZIO</v>
      </c>
      <c r="AM40" s="278" t="str">
        <f>IF(AU40&gt;AV40,3,IF(AU40&lt;AV40,0,IF(AU40="","",1)))</f>
        <v/>
      </c>
      <c r="AN40" s="278" t="str">
        <f>IF(AV40&gt;AU40,3,IF(AV40&lt;AU40,0,IF(AV40="","",1)))</f>
        <v/>
      </c>
      <c r="AO40" s="279">
        <f>IF(AM40=3,1,0)</f>
        <v>0</v>
      </c>
      <c r="AP40" s="279">
        <f>IF(AM40=1,1,0)</f>
        <v>0</v>
      </c>
      <c r="AQ40" s="279">
        <f>IF(AM40=0,1,0)</f>
        <v>0</v>
      </c>
      <c r="AR40" s="279">
        <f>IF(AN40=3,1,0)</f>
        <v>0</v>
      </c>
      <c r="AS40" s="279">
        <f>IF(AN40=1,1,0)</f>
        <v>0</v>
      </c>
      <c r="AT40" s="279">
        <f>IF(AN40=0,1,0)</f>
        <v>0</v>
      </c>
      <c r="AU40" s="280"/>
      <c r="AV40" s="281"/>
      <c r="AW40" s="274"/>
      <c r="BW40" s="465"/>
      <c r="BX40" s="464"/>
    </row>
    <row r="41" spans="2:76" ht="11.9" customHeight="1" x14ac:dyDescent="0.25">
      <c r="B41" s="275"/>
      <c r="C41" s="276"/>
      <c r="D41" s="283" t="str">
        <f>'Proposte d''Acquisto'!B33</f>
        <v>VINCENZO</v>
      </c>
      <c r="E41" s="278" t="str">
        <f>IF(B41&gt;C41,3,IF(B41&lt;C41,0,IF(B41="","",1)))</f>
        <v/>
      </c>
      <c r="F41" s="278" t="str">
        <f>IF(C41&gt;B41,3,IF(C41&lt;B41,0,IF(C41="","",1)))</f>
        <v/>
      </c>
      <c r="G41" s="279">
        <f>IF(E41=3,1,0)</f>
        <v>0</v>
      </c>
      <c r="H41" s="279">
        <f>IF(E41=1,1,0)</f>
        <v>0</v>
      </c>
      <c r="I41" s="279">
        <f>IF(E41=0,1,0)</f>
        <v>0</v>
      </c>
      <c r="J41" s="279">
        <f>IF(F41=3,1,0)</f>
        <v>0</v>
      </c>
      <c r="K41" s="279">
        <f>IF(F41=1,1,0)</f>
        <v>0</v>
      </c>
      <c r="L41" s="279">
        <f>IF(F41=0,1,0)</f>
        <v>0</v>
      </c>
      <c r="N41" s="283" t="str">
        <f>'Proposte d''Acquisto'!B23</f>
        <v>MOLINA</v>
      </c>
      <c r="O41" s="278" t="str">
        <f>IF(W41&gt;X41,3,IF(W41&lt;X41,0,IF(W41="","",1)))</f>
        <v/>
      </c>
      <c r="P41" s="278" t="str">
        <f>IF(X41&gt;W41,3,IF(X41&lt;W41,0,IF(X41="","",1)))</f>
        <v/>
      </c>
      <c r="Q41" s="279">
        <f>IF(O41=3,1,0)</f>
        <v>0</v>
      </c>
      <c r="R41" s="279">
        <f>IF(O41=1,1,0)</f>
        <v>0</v>
      </c>
      <c r="S41" s="279">
        <f>IF(O41=0,1,0)</f>
        <v>0</v>
      </c>
      <c r="T41" s="279">
        <f>IF(P41=3,1,0)</f>
        <v>0</v>
      </c>
      <c r="U41" s="279">
        <f>IF(P41=1,1,0)</f>
        <v>0</v>
      </c>
      <c r="V41" s="279">
        <f>IF(P41=0,1,0)</f>
        <v>0</v>
      </c>
      <c r="W41" s="275"/>
      <c r="X41" s="276"/>
      <c r="Z41" s="275"/>
      <c r="AA41" s="276"/>
      <c r="AB41" s="283" t="str">
        <f>'Proposte d''Acquisto'!B33</f>
        <v>VINCENZO</v>
      </c>
      <c r="AC41" s="278" t="str">
        <f>IF(Z41&gt;AA41,3,IF(Z41&lt;AA41,0,IF(Z41="","",1)))</f>
        <v/>
      </c>
      <c r="AD41" s="278" t="str">
        <f>IF(AA41&gt;Z41,3,IF(AA41&lt;Z41,0,IF(AA41="","",1)))</f>
        <v/>
      </c>
      <c r="AE41" s="279">
        <f>IF(AC41=3,1,0)</f>
        <v>0</v>
      </c>
      <c r="AF41" s="279">
        <f>IF(AC41=1,1,0)</f>
        <v>0</v>
      </c>
      <c r="AG41" s="279">
        <f>IF(AC41=0,1,0)</f>
        <v>0</v>
      </c>
      <c r="AH41" s="279">
        <f>IF(AD41=3,1,0)</f>
        <v>0</v>
      </c>
      <c r="AI41" s="279">
        <f>IF(AD41=1,1,0)</f>
        <v>0</v>
      </c>
      <c r="AJ41" s="279">
        <f>IF(AD41=0,1,0)</f>
        <v>0</v>
      </c>
      <c r="AL41" s="283" t="str">
        <f>'Proposte d''Acquisto'!B23</f>
        <v>MOLINA</v>
      </c>
      <c r="AM41" s="278" t="str">
        <f>IF(AU41&gt;AV41,3,IF(AU41&lt;AV41,0,IF(AU41="","",1)))</f>
        <v/>
      </c>
      <c r="AN41" s="278" t="str">
        <f>IF(AV41&gt;AU41,3,IF(AV41&lt;AU41,0,IF(AV41="","",1)))</f>
        <v/>
      </c>
      <c r="AO41" s="279">
        <f>IF(AM41=3,1,0)</f>
        <v>0</v>
      </c>
      <c r="AP41" s="279">
        <f>IF(AM41=1,1,0)</f>
        <v>0</v>
      </c>
      <c r="AQ41" s="279">
        <f>IF(AM41=0,1,0)</f>
        <v>0</v>
      </c>
      <c r="AR41" s="279">
        <f>IF(AN41=3,1,0)</f>
        <v>0</v>
      </c>
      <c r="AS41" s="279">
        <f>IF(AN41=1,1,0)</f>
        <v>0</v>
      </c>
      <c r="AT41" s="279">
        <f>IF(AN41=0,1,0)</f>
        <v>0</v>
      </c>
      <c r="AU41" s="275"/>
      <c r="AV41" s="276"/>
      <c r="AW41" s="274"/>
      <c r="BW41" s="465"/>
      <c r="BX41" s="464"/>
    </row>
    <row r="42" spans="2:76" ht="11.9" customHeight="1" x14ac:dyDescent="0.25">
      <c r="B42" s="291"/>
      <c r="C42" s="292"/>
      <c r="D42" s="293" t="str">
        <f>'Proposte d''Acquisto'!B28</f>
        <v>EUGENIO</v>
      </c>
      <c r="E42" s="287" t="str">
        <f>IF(B42&gt;C42,3,IF(B42&lt;C42,0,IF(B42="","",1)))</f>
        <v/>
      </c>
      <c r="F42" s="287" t="str">
        <f>IF(C42&gt;B42,3,IF(C42&lt;B42,0,IF(C42="","",1)))</f>
        <v/>
      </c>
      <c r="G42" s="288">
        <f>IF(E42=3,1,0)</f>
        <v>0</v>
      </c>
      <c r="H42" s="288">
        <f>IF(E42=1,1,0)</f>
        <v>0</v>
      </c>
      <c r="I42" s="288">
        <f>IF(E42=0,1,0)</f>
        <v>0</v>
      </c>
      <c r="J42" s="288">
        <f>IF(F42=3,1,0)</f>
        <v>0</v>
      </c>
      <c r="K42" s="288">
        <f>IF(F42=1,1,0)</f>
        <v>0</v>
      </c>
      <c r="L42" s="288">
        <f>IF(F42=0,1,0)</f>
        <v>0</v>
      </c>
      <c r="M42" s="299"/>
      <c r="N42" s="293" t="str">
        <f>'Proposte d''Acquisto'!B38</f>
        <v>DARIO</v>
      </c>
      <c r="O42" s="287" t="str">
        <f>IF(W42&gt;X42,3,IF(W42&lt;X42,0,IF(W42="","",1)))</f>
        <v/>
      </c>
      <c r="P42" s="287" t="str">
        <f>IF(X42&gt;W42,3,IF(X42&lt;W42,0,IF(X42="","",1)))</f>
        <v/>
      </c>
      <c r="Q42" s="288">
        <f>IF(O42=3,1,0)</f>
        <v>0</v>
      </c>
      <c r="R42" s="288">
        <f>IF(O42=1,1,0)</f>
        <v>0</v>
      </c>
      <c r="S42" s="288">
        <f>IF(O42=0,1,0)</f>
        <v>0</v>
      </c>
      <c r="T42" s="288">
        <f>IF(P42=3,1,0)</f>
        <v>0</v>
      </c>
      <c r="U42" s="288">
        <f>IF(P42=1,1,0)</f>
        <v>0</v>
      </c>
      <c r="V42" s="288">
        <f>IF(P42=0,1,0)</f>
        <v>0</v>
      </c>
      <c r="W42" s="291"/>
      <c r="X42" s="292"/>
      <c r="Z42" s="291"/>
      <c r="AA42" s="292"/>
      <c r="AB42" s="293" t="str">
        <f>'Proposte d''Acquisto'!B28</f>
        <v>EUGENIO</v>
      </c>
      <c r="AC42" s="287" t="str">
        <f>IF(Z42&gt;AA42,3,IF(Z42&lt;AA42,0,IF(Z42="","",1)))</f>
        <v/>
      </c>
      <c r="AD42" s="287" t="str">
        <f>IF(AA42&gt;Z42,3,IF(AA42&lt;Z42,0,IF(AA42="","",1)))</f>
        <v/>
      </c>
      <c r="AE42" s="288">
        <f>IF(AC42=3,1,0)</f>
        <v>0</v>
      </c>
      <c r="AF42" s="288">
        <f>IF(AC42=1,1,0)</f>
        <v>0</v>
      </c>
      <c r="AG42" s="288">
        <f>IF(AC42=0,1,0)</f>
        <v>0</v>
      </c>
      <c r="AH42" s="288">
        <f>IF(AD42=3,1,0)</f>
        <v>0</v>
      </c>
      <c r="AI42" s="288">
        <f>IF(AD42=1,1,0)</f>
        <v>0</v>
      </c>
      <c r="AJ42" s="288">
        <f>IF(AD42=0,1,0)</f>
        <v>0</v>
      </c>
      <c r="AK42" s="299"/>
      <c r="AL42" s="293" t="str">
        <f>'Proposte d''Acquisto'!B38</f>
        <v>DARIO</v>
      </c>
      <c r="AM42" s="278" t="str">
        <f>IF(AU42&gt;AV42,3,IF(AU42&lt;AV42,0,IF(AU42="","",1)))</f>
        <v/>
      </c>
      <c r="AN42" s="278" t="str">
        <f>IF(AV42&gt;AU42,3,IF(AV42&lt;AU42,0,IF(AV42="","",1)))</f>
        <v/>
      </c>
      <c r="AO42" s="288">
        <f>IF(AM42=3,1,0)</f>
        <v>0</v>
      </c>
      <c r="AP42" s="288">
        <f>IF(AM42=1,1,0)</f>
        <v>0</v>
      </c>
      <c r="AQ42" s="288">
        <f>IF(AM42=0,1,0)</f>
        <v>0</v>
      </c>
      <c r="AR42" s="288">
        <f>IF(AN42=3,1,0)</f>
        <v>0</v>
      </c>
      <c r="AS42" s="288">
        <f>IF(AN42=1,1,0)</f>
        <v>0</v>
      </c>
      <c r="AT42" s="288">
        <f>IF(AN42=0,1,0)</f>
        <v>0</v>
      </c>
      <c r="AU42" s="291"/>
      <c r="AV42" s="292"/>
      <c r="AW42" s="274"/>
      <c r="BW42" s="465"/>
      <c r="BX42" s="464"/>
    </row>
    <row r="43" spans="2:76" ht="11.9" customHeight="1" x14ac:dyDescent="0.25">
      <c r="AW43" s="274"/>
      <c r="BW43" s="465"/>
      <c r="BX43" s="464"/>
    </row>
    <row r="44" spans="2:76" ht="11.9" customHeight="1" x14ac:dyDescent="0.25">
      <c r="AW44" s="274"/>
      <c r="BW44" s="465"/>
      <c r="BX44" s="464"/>
    </row>
    <row r="45" spans="2:76" ht="11.9" customHeight="1" x14ac:dyDescent="0.25">
      <c r="B45" s="430" t="s">
        <v>0</v>
      </c>
      <c r="C45" s="434"/>
      <c r="D45" s="432" t="s">
        <v>27</v>
      </c>
      <c r="E45" s="432"/>
      <c r="F45" s="432"/>
      <c r="G45" s="432"/>
      <c r="H45" s="432"/>
      <c r="I45" s="432"/>
      <c r="J45" s="432"/>
      <c r="K45" s="432"/>
      <c r="L45" s="432"/>
      <c r="M45" s="432"/>
      <c r="N45" s="432"/>
      <c r="O45" s="297"/>
      <c r="P45" s="297"/>
      <c r="Q45" s="301"/>
      <c r="R45" s="301"/>
      <c r="S45" s="301"/>
      <c r="T45" s="301"/>
      <c r="U45" s="301"/>
      <c r="V45" s="301"/>
      <c r="W45" s="431" t="s">
        <v>2</v>
      </c>
      <c r="X45" s="435"/>
      <c r="Z45" s="430" t="s">
        <v>0</v>
      </c>
      <c r="AA45" s="431"/>
      <c r="AB45" s="432" t="s">
        <v>28</v>
      </c>
      <c r="AC45" s="432"/>
      <c r="AD45" s="432"/>
      <c r="AE45" s="432"/>
      <c r="AF45" s="432"/>
      <c r="AG45" s="432"/>
      <c r="AH45" s="432"/>
      <c r="AI45" s="432"/>
      <c r="AJ45" s="432"/>
      <c r="AK45" s="432"/>
      <c r="AL45" s="432"/>
      <c r="AM45" s="301"/>
      <c r="AN45" s="301"/>
      <c r="AO45" s="301"/>
      <c r="AP45" s="301"/>
      <c r="AQ45" s="301"/>
      <c r="AR45" s="301"/>
      <c r="AS45" s="301"/>
      <c r="AT45" s="301"/>
      <c r="AU45" s="431" t="s">
        <v>2</v>
      </c>
      <c r="AV45" s="435"/>
      <c r="AW45" s="274"/>
    </row>
    <row r="46" spans="2:76" ht="11.9" customHeight="1" x14ac:dyDescent="0.25">
      <c r="B46" s="275"/>
      <c r="C46" s="276"/>
      <c r="D46" s="283" t="str">
        <f>'Proposte d''Acquisto'!B18</f>
        <v>DANIELE</v>
      </c>
      <c r="E46" s="278" t="str">
        <f>IF(B46&gt;C46,3,IF(B46&lt;C46,0,IF(B46="","",1)))</f>
        <v/>
      </c>
      <c r="F46" s="278" t="str">
        <f>IF(C46&gt;B46,3,IF(C46&lt;B46,0,IF(C46="","",1)))</f>
        <v/>
      </c>
      <c r="G46" s="279">
        <f>IF(E46=3,1,0)</f>
        <v>0</v>
      </c>
      <c r="H46" s="279">
        <f>IF(E46=1,1,0)</f>
        <v>0</v>
      </c>
      <c r="I46" s="279">
        <f>IF(E46=0,1,0)</f>
        <v>0</v>
      </c>
      <c r="J46" s="279">
        <f>IF(F46=3,1,0)</f>
        <v>0</v>
      </c>
      <c r="K46" s="279">
        <f>IF(F46=1,1,0)</f>
        <v>0</v>
      </c>
      <c r="L46" s="279">
        <f>IF(F46=0,1,0)</f>
        <v>0</v>
      </c>
      <c r="N46" s="283" t="str">
        <f>'Proposte d''Acquisto'!B28</f>
        <v>EUGENIO</v>
      </c>
      <c r="O46" s="278" t="str">
        <f>IF(W46&gt;X46,3,IF(W46&lt;X46,0,IF(W46="","",1)))</f>
        <v/>
      </c>
      <c r="P46" s="278" t="str">
        <f>IF(X46&gt;W46,3,IF(X46&lt;W46,0,IF(X46="","",1)))</f>
        <v/>
      </c>
      <c r="Q46" s="279">
        <f>IF(O46=3,1,0)</f>
        <v>0</v>
      </c>
      <c r="R46" s="279">
        <f>IF(O46=1,1,0)</f>
        <v>0</v>
      </c>
      <c r="S46" s="279">
        <f>IF(O46=0,1,0)</f>
        <v>0</v>
      </c>
      <c r="T46" s="279">
        <f>IF(P46=3,1,0)</f>
        <v>0</v>
      </c>
      <c r="U46" s="279">
        <f>IF(P46=1,1,0)</f>
        <v>0</v>
      </c>
      <c r="V46" s="279">
        <f>IF(P46=0,1,0)</f>
        <v>0</v>
      </c>
      <c r="W46" s="275"/>
      <c r="X46" s="276"/>
      <c r="Z46" s="275"/>
      <c r="AA46" s="302"/>
      <c r="AB46" s="283" t="str">
        <f>'Proposte d''Acquisto'!B18</f>
        <v>DANIELE</v>
      </c>
      <c r="AC46" s="278" t="str">
        <f>IF(Z46&gt;AA46,3,IF(Z46&lt;AA46,0,IF(Z46="","",1)))</f>
        <v/>
      </c>
      <c r="AD46" s="278" t="str">
        <f>IF(AA46&gt;Z46,3,IF(AA46&lt;Z46,0,IF(AA46="","",1)))</f>
        <v/>
      </c>
      <c r="AE46" s="279">
        <f>IF(AC46=3,1,0)</f>
        <v>0</v>
      </c>
      <c r="AF46" s="279">
        <f>IF(AC46=1,1,0)</f>
        <v>0</v>
      </c>
      <c r="AG46" s="279">
        <f>IF(AC46=0,1,0)</f>
        <v>0</v>
      </c>
      <c r="AH46" s="279">
        <f>IF(AD46=3,1,0)</f>
        <v>0</v>
      </c>
      <c r="AI46" s="279">
        <f>IF(AD46=1,1,0)</f>
        <v>0</v>
      </c>
      <c r="AJ46" s="279">
        <f>IF(AD46=0,1,0)</f>
        <v>0</v>
      </c>
      <c r="AL46" s="283" t="str">
        <f>'Proposte d''Acquisto'!B28</f>
        <v>EUGENIO</v>
      </c>
      <c r="AM46" s="278" t="str">
        <f>IF(AU46&gt;AV46,3,IF(AU46&lt;AV46,0,IF(AU46="","",1)))</f>
        <v/>
      </c>
      <c r="AN46" s="278" t="str">
        <f>IF(AV46&gt;AU46,3,IF(AV46&lt;AU46,0,IF(AV46="","",1)))</f>
        <v/>
      </c>
      <c r="AO46" s="279">
        <f>IF(AM46=3,1,0)</f>
        <v>0</v>
      </c>
      <c r="AP46" s="279">
        <f>IF(AM46=1,1,0)</f>
        <v>0</v>
      </c>
      <c r="AQ46" s="279">
        <f>IF(AM46=0,1,0)</f>
        <v>0</v>
      </c>
      <c r="AR46" s="279">
        <f>IF(AN46=3,1,0)</f>
        <v>0</v>
      </c>
      <c r="AS46" s="279">
        <f>IF(AN46=1,1,0)</f>
        <v>0</v>
      </c>
      <c r="AT46" s="279">
        <f>IF(AN46=0,1,0)</f>
        <v>0</v>
      </c>
      <c r="AU46" s="275"/>
      <c r="AV46" s="276"/>
      <c r="AW46" s="274"/>
    </row>
    <row r="47" spans="2:76" ht="11.9" customHeight="1" x14ac:dyDescent="0.25">
      <c r="B47" s="294"/>
      <c r="C47" s="295"/>
      <c r="D47" s="296" t="str">
        <f>'Proposte d''Acquisto'!B13</f>
        <v>FABRIZIO</v>
      </c>
      <c r="E47" s="278" t="str">
        <f>IF(B47&gt;C47,3,IF(B47&lt;C47,0,IF(B47="","",1)))</f>
        <v/>
      </c>
      <c r="F47" s="278" t="str">
        <f>IF(C47&gt;B47,3,IF(C47&lt;B47,0,IF(C47="","",1)))</f>
        <v/>
      </c>
      <c r="G47" s="279">
        <f>IF(E47=3,1,0)</f>
        <v>0</v>
      </c>
      <c r="H47" s="279">
        <f>IF(E47=1,1,0)</f>
        <v>0</v>
      </c>
      <c r="I47" s="279">
        <f>IF(E47=0,1,0)</f>
        <v>0</v>
      </c>
      <c r="J47" s="279">
        <f>IF(F47=3,1,0)</f>
        <v>0</v>
      </c>
      <c r="K47" s="279">
        <f>IF(F47=1,1,0)</f>
        <v>0</v>
      </c>
      <c r="L47" s="279">
        <f>IF(F47=0,1,0)</f>
        <v>0</v>
      </c>
      <c r="M47" s="298"/>
      <c r="N47" s="296" t="str">
        <f>'Proposte d''Acquisto'!B8</f>
        <v>RICCARDO</v>
      </c>
      <c r="O47" s="278" t="str">
        <f>IF(W47&gt;X47,3,IF(W47&lt;X47,0,IF(W47="","",1)))</f>
        <v/>
      </c>
      <c r="P47" s="278" t="str">
        <f>IF(X47&gt;W47,3,IF(X47&lt;W47,0,IF(X47="","",1)))</f>
        <v/>
      </c>
      <c r="Q47" s="279">
        <f>IF(O47=3,1,0)</f>
        <v>0</v>
      </c>
      <c r="R47" s="279">
        <f>IF(O47=1,1,0)</f>
        <v>0</v>
      </c>
      <c r="S47" s="279">
        <f>IF(O47=0,1,0)</f>
        <v>0</v>
      </c>
      <c r="T47" s="279">
        <f>IF(P47=3,1,0)</f>
        <v>0</v>
      </c>
      <c r="U47" s="279">
        <f>IF(P47=1,1,0)</f>
        <v>0</v>
      </c>
      <c r="V47" s="279">
        <f>IF(P47=0,1,0)</f>
        <v>0</v>
      </c>
      <c r="W47" s="294"/>
      <c r="X47" s="295"/>
      <c r="Z47" s="294"/>
      <c r="AA47" s="295"/>
      <c r="AB47" s="296" t="str">
        <f>'Proposte d''Acquisto'!B13</f>
        <v>FABRIZIO</v>
      </c>
      <c r="AC47" s="278" t="str">
        <f>IF(Z47&gt;AA47,3,IF(Z47&lt;AA47,0,IF(Z47="","",1)))</f>
        <v/>
      </c>
      <c r="AD47" s="278" t="str">
        <f>IF(AA47&gt;Z47,3,IF(AA47&lt;Z47,0,IF(AA47="","",1)))</f>
        <v/>
      </c>
      <c r="AE47" s="279">
        <f>IF(AC47=3,1,0)</f>
        <v>0</v>
      </c>
      <c r="AF47" s="279">
        <f>IF(AC47=1,1,0)</f>
        <v>0</v>
      </c>
      <c r="AG47" s="279">
        <f>IF(AC47=0,1,0)</f>
        <v>0</v>
      </c>
      <c r="AH47" s="279">
        <f>IF(AD47=3,1,0)</f>
        <v>0</v>
      </c>
      <c r="AI47" s="279">
        <f>IF(AD47=1,1,0)</f>
        <v>0</v>
      </c>
      <c r="AJ47" s="279">
        <f>IF(AD47=0,1,0)</f>
        <v>0</v>
      </c>
      <c r="AK47" s="298"/>
      <c r="AL47" s="296" t="str">
        <f>'Proposte d''Acquisto'!B8</f>
        <v>RICCARDO</v>
      </c>
      <c r="AM47" s="278" t="str">
        <f>IF(AU47&gt;AV47,3,IF(AU47&lt;AV47,0,IF(AU47="","",1)))</f>
        <v/>
      </c>
      <c r="AN47" s="278" t="str">
        <f>IF(AV47&gt;AU47,3,IF(AV47&lt;AU47,0,IF(AV47="","",1)))</f>
        <v/>
      </c>
      <c r="AO47" s="279">
        <f>IF(AM47=3,1,0)</f>
        <v>0</v>
      </c>
      <c r="AP47" s="279">
        <f>IF(AM47=1,1,0)</f>
        <v>0</v>
      </c>
      <c r="AQ47" s="279">
        <f>IF(AM47=0,1,0)</f>
        <v>0</v>
      </c>
      <c r="AR47" s="279">
        <f>IF(AN47=3,1,0)</f>
        <v>0</v>
      </c>
      <c r="AS47" s="279">
        <f>IF(AN47=1,1,0)</f>
        <v>0</v>
      </c>
      <c r="AT47" s="279">
        <f>IF(AN47=0,1,0)</f>
        <v>0</v>
      </c>
      <c r="AU47" s="294"/>
      <c r="AV47" s="295"/>
      <c r="AW47" s="274"/>
    </row>
    <row r="48" spans="2:76" ht="11.9" customHeight="1" x14ac:dyDescent="0.25">
      <c r="B48" s="275"/>
      <c r="C48" s="276"/>
      <c r="D48" s="283" t="str">
        <f>'Proposte d''Acquisto'!B23</f>
        <v>MOLINA</v>
      </c>
      <c r="E48" s="278" t="str">
        <f>IF(B48&gt;C48,3,IF(B48&lt;C48,0,IF(B48="","",1)))</f>
        <v/>
      </c>
      <c r="F48" s="278" t="str">
        <f>IF(C48&gt;B48,3,IF(C48&lt;B48,0,IF(C48="","",1)))</f>
        <v/>
      </c>
      <c r="G48" s="279">
        <f>IF(E48=3,1,0)</f>
        <v>0</v>
      </c>
      <c r="H48" s="279">
        <f>IF(E48=1,1,0)</f>
        <v>0</v>
      </c>
      <c r="I48" s="279">
        <f>IF(E48=0,1,0)</f>
        <v>0</v>
      </c>
      <c r="J48" s="279">
        <f>IF(F48=3,1,0)</f>
        <v>0</v>
      </c>
      <c r="K48" s="279">
        <f>IF(F48=1,1,0)</f>
        <v>0</v>
      </c>
      <c r="L48" s="279">
        <f>IF(F48=0,1,0)</f>
        <v>0</v>
      </c>
      <c r="N48" s="283" t="str">
        <f>'Proposte d''Acquisto'!B3</f>
        <v>ENRICO</v>
      </c>
      <c r="O48" s="278" t="str">
        <f>IF(W48&gt;X48,3,IF(W48&lt;X48,0,IF(W48="","",1)))</f>
        <v/>
      </c>
      <c r="P48" s="278" t="str">
        <f>IF(X48&gt;W48,3,IF(X48&lt;W48,0,IF(X48="","",1)))</f>
        <v/>
      </c>
      <c r="Q48" s="279">
        <f>IF(O48=3,1,0)</f>
        <v>0</v>
      </c>
      <c r="R48" s="279">
        <f>IF(O48=1,1,0)</f>
        <v>0</v>
      </c>
      <c r="S48" s="279">
        <f>IF(O48=0,1,0)</f>
        <v>0</v>
      </c>
      <c r="T48" s="279">
        <f>IF(P48=3,1,0)</f>
        <v>0</v>
      </c>
      <c r="U48" s="279">
        <f>IF(P48=1,1,0)</f>
        <v>0</v>
      </c>
      <c r="V48" s="279">
        <f>IF(P48=0,1,0)</f>
        <v>0</v>
      </c>
      <c r="W48" s="275"/>
      <c r="X48" s="276"/>
      <c r="Z48" s="275"/>
      <c r="AA48" s="276"/>
      <c r="AB48" s="283" t="str">
        <f>'Proposte d''Acquisto'!B23</f>
        <v>MOLINA</v>
      </c>
      <c r="AC48" s="278" t="str">
        <f>IF(Z48&gt;AA48,3,IF(Z48&lt;AA48,0,IF(Z48="","",1)))</f>
        <v/>
      </c>
      <c r="AD48" s="278" t="str">
        <f>IF(AA48&gt;Z48,3,IF(AA48&lt;Z48,0,IF(AA48="","",1)))</f>
        <v/>
      </c>
      <c r="AE48" s="279">
        <f>IF(AC48=3,1,0)</f>
        <v>0</v>
      </c>
      <c r="AF48" s="279">
        <f>IF(AC48=1,1,0)</f>
        <v>0</v>
      </c>
      <c r="AG48" s="279">
        <f>IF(AC48=0,1,0)</f>
        <v>0</v>
      </c>
      <c r="AH48" s="279">
        <f>IF(AD48=3,1,0)</f>
        <v>0</v>
      </c>
      <c r="AI48" s="279">
        <f>IF(AD48=1,1,0)</f>
        <v>0</v>
      </c>
      <c r="AJ48" s="279">
        <f>IF(AD48=0,1,0)</f>
        <v>0</v>
      </c>
      <c r="AL48" s="283" t="str">
        <f>'Proposte d''Acquisto'!B3</f>
        <v>ENRICO</v>
      </c>
      <c r="AM48" s="278" t="str">
        <f>IF(AU48&gt;AV48,3,IF(AU48&lt;AV48,0,IF(AU48="","",1)))</f>
        <v/>
      </c>
      <c r="AN48" s="278" t="str">
        <f>IF(AV48&gt;AU48,3,IF(AV48&lt;AU48,0,IF(AV48="","",1)))</f>
        <v/>
      </c>
      <c r="AO48" s="279">
        <f>IF(AM48=3,1,0)</f>
        <v>0</v>
      </c>
      <c r="AP48" s="279">
        <f>IF(AM48=1,1,0)</f>
        <v>0</v>
      </c>
      <c r="AQ48" s="279">
        <f>IF(AM48=0,1,0)</f>
        <v>0</v>
      </c>
      <c r="AR48" s="279">
        <f>IF(AN48=3,1,0)</f>
        <v>0</v>
      </c>
      <c r="AS48" s="279">
        <f>IF(AN48=1,1,0)</f>
        <v>0</v>
      </c>
      <c r="AT48" s="279">
        <f>IF(AN48=0,1,0)</f>
        <v>0</v>
      </c>
      <c r="AU48" s="275"/>
      <c r="AV48" s="276"/>
      <c r="AW48" s="274"/>
    </row>
    <row r="49" spans="1:49" ht="11.9" customHeight="1" x14ac:dyDescent="0.25">
      <c r="B49" s="291"/>
      <c r="C49" s="292"/>
      <c r="D49" s="293" t="str">
        <f>'Proposte d''Acquisto'!B38</f>
        <v>DARIO</v>
      </c>
      <c r="E49" s="287" t="str">
        <f>IF(B49&gt;C49,3,IF(B49&lt;C49,0,IF(B49="","",1)))</f>
        <v/>
      </c>
      <c r="F49" s="287" t="str">
        <f>IF(C49&gt;B49,3,IF(C49&lt;B49,0,IF(C49="","",1)))</f>
        <v/>
      </c>
      <c r="G49" s="288">
        <f>IF(E49=3,1,0)</f>
        <v>0</v>
      </c>
      <c r="H49" s="288">
        <f>IF(E49=1,1,0)</f>
        <v>0</v>
      </c>
      <c r="I49" s="288">
        <f>IF(E49=0,1,0)</f>
        <v>0</v>
      </c>
      <c r="J49" s="288">
        <f>IF(F49=3,1,0)</f>
        <v>0</v>
      </c>
      <c r="K49" s="288">
        <f>IF(F49=1,1,0)</f>
        <v>0</v>
      </c>
      <c r="L49" s="288">
        <f>IF(F49=0,1,0)</f>
        <v>0</v>
      </c>
      <c r="M49" s="299"/>
      <c r="N49" s="293" t="str">
        <f>'Proposte d''Acquisto'!B33</f>
        <v>VINCENZO</v>
      </c>
      <c r="O49" s="287" t="str">
        <f>IF(W49&gt;X49,3,IF(W49&lt;X49,0,IF(W49="","",1)))</f>
        <v/>
      </c>
      <c r="P49" s="287" t="str">
        <f>IF(X49&gt;W49,3,IF(X49&lt;W49,0,IF(X49="","",1)))</f>
        <v/>
      </c>
      <c r="Q49" s="288">
        <f>IF(O49=3,1,0)</f>
        <v>0</v>
      </c>
      <c r="R49" s="288">
        <f>IF(O49=1,1,0)</f>
        <v>0</v>
      </c>
      <c r="S49" s="288">
        <f>IF(O49=0,1,0)</f>
        <v>0</v>
      </c>
      <c r="T49" s="288">
        <f>IF(P49=3,1,0)</f>
        <v>0</v>
      </c>
      <c r="U49" s="288">
        <f>IF(P49=1,1,0)</f>
        <v>0</v>
      </c>
      <c r="V49" s="288">
        <f>IF(P49=0,1,0)</f>
        <v>0</v>
      </c>
      <c r="W49" s="291"/>
      <c r="X49" s="292"/>
      <c r="Z49" s="291"/>
      <c r="AA49" s="292"/>
      <c r="AB49" s="293" t="str">
        <f>'Proposte d''Acquisto'!B38</f>
        <v>DARIO</v>
      </c>
      <c r="AC49" s="287" t="str">
        <f>IF(Z49&gt;AA49,3,IF(Z49&lt;AA49,0,IF(Z49="","",1)))</f>
        <v/>
      </c>
      <c r="AD49" s="287" t="str">
        <f>IF(AA49&gt;Z49,3,IF(AA49&lt;Z49,0,IF(AA49="","",1)))</f>
        <v/>
      </c>
      <c r="AE49" s="288">
        <f>IF(AC49=3,1,0)</f>
        <v>0</v>
      </c>
      <c r="AF49" s="288">
        <f>IF(AC49=1,1,0)</f>
        <v>0</v>
      </c>
      <c r="AG49" s="288">
        <f>IF(AC49=0,1,0)</f>
        <v>0</v>
      </c>
      <c r="AH49" s="288">
        <f>IF(AD49=3,1,0)</f>
        <v>0</v>
      </c>
      <c r="AI49" s="288">
        <f>IF(AD49=1,1,0)</f>
        <v>0</v>
      </c>
      <c r="AJ49" s="288">
        <f>IF(AD49=0,1,0)</f>
        <v>0</v>
      </c>
      <c r="AK49" s="299"/>
      <c r="AL49" s="293" t="str">
        <f>'Proposte d''Acquisto'!B33</f>
        <v>VINCENZO</v>
      </c>
      <c r="AM49" s="287" t="str">
        <f>IF(AU49&gt;AV49,3,IF(AU49&lt;AV49,0,IF(AU49="","",1)))</f>
        <v/>
      </c>
      <c r="AN49" s="287" t="str">
        <f>IF(AV49&gt;AU49,3,IF(AV49&lt;AU49,0,IF(AV49="","",1)))</f>
        <v/>
      </c>
      <c r="AO49" s="288">
        <f>IF(AM49=3,1,0)</f>
        <v>0</v>
      </c>
      <c r="AP49" s="288">
        <f>IF(AM49=1,1,0)</f>
        <v>0</v>
      </c>
      <c r="AQ49" s="288">
        <f>IF(AM49=0,1,0)</f>
        <v>0</v>
      </c>
      <c r="AR49" s="288">
        <f>IF(AN49=3,1,0)</f>
        <v>0</v>
      </c>
      <c r="AS49" s="288">
        <f>IF(AN49=1,1,0)</f>
        <v>0</v>
      </c>
      <c r="AT49" s="288">
        <f>IF(AN49=0,1,0)</f>
        <v>0</v>
      </c>
      <c r="AU49" s="291"/>
      <c r="AV49" s="292"/>
      <c r="AW49" s="274"/>
    </row>
    <row r="50" spans="1:49" ht="11.25" customHeight="1" x14ac:dyDescent="0.25">
      <c r="AW50" s="274"/>
    </row>
    <row r="51" spans="1:49" ht="11.25" customHeight="1" x14ac:dyDescent="0.25">
      <c r="A51" s="289"/>
      <c r="Y51" s="289"/>
      <c r="AW51" s="274"/>
    </row>
    <row r="52" spans="1:49" ht="11.25" customHeight="1" x14ac:dyDescent="0.25">
      <c r="AW52" s="274"/>
    </row>
    <row r="53" spans="1:49" ht="11.25" customHeight="1" x14ac:dyDescent="0.25">
      <c r="AW53" s="274"/>
    </row>
    <row r="54" spans="1:49" ht="11.25" customHeight="1" x14ac:dyDescent="0.25">
      <c r="AW54" s="274"/>
    </row>
    <row r="55" spans="1:49" ht="11.25" customHeight="1" x14ac:dyDescent="0.25">
      <c r="AW55" s="274"/>
    </row>
    <row r="56" spans="1:49" ht="11.25" customHeight="1" x14ac:dyDescent="0.25">
      <c r="AW56" s="274"/>
    </row>
    <row r="57" spans="1:49" ht="11.25" customHeight="1" x14ac:dyDescent="0.25">
      <c r="AW57" s="274"/>
    </row>
    <row r="58" spans="1:49" ht="11.25" customHeight="1" x14ac:dyDescent="0.25">
      <c r="AW58" s="274"/>
    </row>
    <row r="59" spans="1:49" ht="11.25" customHeight="1" x14ac:dyDescent="0.25">
      <c r="AW59" s="274"/>
    </row>
    <row r="60" spans="1:49" ht="11.25" customHeight="1" x14ac:dyDescent="0.25">
      <c r="AW60" s="274"/>
    </row>
    <row r="61" spans="1:49" ht="11.25" customHeight="1" x14ac:dyDescent="0.25">
      <c r="AW61" s="274"/>
    </row>
    <row r="62" spans="1:49" ht="11.25" customHeight="1" x14ac:dyDescent="0.25">
      <c r="AW62" s="274"/>
    </row>
    <row r="63" spans="1:49" ht="11.25" customHeight="1" x14ac:dyDescent="0.25">
      <c r="AW63" s="274"/>
    </row>
    <row r="64" spans="1:49" ht="11.25" customHeight="1" x14ac:dyDescent="0.25">
      <c r="AW64" s="274"/>
    </row>
    <row r="65" spans="49:49" ht="11.25" customHeight="1" x14ac:dyDescent="0.25">
      <c r="AW65" s="274"/>
    </row>
    <row r="66" spans="49:49" ht="11.25" customHeight="1" x14ac:dyDescent="0.25">
      <c r="AW66" s="274"/>
    </row>
    <row r="67" spans="49:49" ht="11.25" customHeight="1" x14ac:dyDescent="0.25">
      <c r="AW67" s="274"/>
    </row>
    <row r="68" spans="49:49" ht="11.25" customHeight="1" x14ac:dyDescent="0.25">
      <c r="AW68" s="274"/>
    </row>
    <row r="69" spans="49:49" ht="11.25" customHeight="1" x14ac:dyDescent="0.25">
      <c r="AW69" s="274"/>
    </row>
    <row r="70" spans="49:49" ht="11.25" customHeight="1" x14ac:dyDescent="0.25">
      <c r="AW70" s="274"/>
    </row>
    <row r="71" spans="49:49" ht="11.25" customHeight="1" x14ac:dyDescent="0.25">
      <c r="AW71" s="274"/>
    </row>
    <row r="72" spans="49:49" ht="11.25" customHeight="1" x14ac:dyDescent="0.25">
      <c r="AW72" s="274"/>
    </row>
    <row r="73" spans="49:49" ht="11.25" customHeight="1" x14ac:dyDescent="0.25">
      <c r="AW73" s="274"/>
    </row>
    <row r="74" spans="49:49" ht="11.25" customHeight="1" x14ac:dyDescent="0.25">
      <c r="AW74" s="274"/>
    </row>
  </sheetData>
  <protectedRanges>
    <protectedRange sqref="BH6:BH21 B4:C7 B11:C14 B18:C21 B25:C28 B32:C35 B39:C42 B46:C49 W4:X7 W11:X14 W18:X21 W25:X28 W32:X35 W39:X42 W46:X49 Z46:AA49 Z39:AA42 Z32:AA35 Z25:AA28 Z18:AA21 Z11:AA14 Z4:AA7 AU4:AV7 AU11:AV14 AU18:AV21 AU25:AV28 AU32:AV35 AU39:AV42 AU46:AV49" name="Intervallo1"/>
  </protectedRanges>
  <sortState xmlns:xlrd2="http://schemas.microsoft.com/office/spreadsheetml/2017/richdata2" ref="AX6:BK21">
    <sortCondition descending="1" ref="AY6"/>
    <sortCondition descending="1" ref="BH6"/>
    <sortCondition descending="1" ref="BK6"/>
  </sortState>
  <dataConsolidate/>
  <mergeCells count="195">
    <mergeCell ref="AX3:BJ4"/>
    <mergeCell ref="BX33:BX34"/>
    <mergeCell ref="BX35:BX36"/>
    <mergeCell ref="BX37:BX38"/>
    <mergeCell ref="BX39:BX40"/>
    <mergeCell ref="BX41:BX42"/>
    <mergeCell ref="BW41:BW42"/>
    <mergeCell ref="BW31:BW32"/>
    <mergeCell ref="BW33:BW34"/>
    <mergeCell ref="BW35:BW36"/>
    <mergeCell ref="BW27:BW28"/>
    <mergeCell ref="BW5:BW6"/>
    <mergeCell ref="BW7:BW8"/>
    <mergeCell ref="BW9:BW10"/>
    <mergeCell ref="BW11:BW12"/>
    <mergeCell ref="BW13:BW14"/>
    <mergeCell ref="BW15:BW16"/>
    <mergeCell ref="BJ18:BJ19"/>
    <mergeCell ref="BJ20:BJ21"/>
    <mergeCell ref="BK6:BK7"/>
    <mergeCell ref="BK8:BK9"/>
    <mergeCell ref="BK10:BK11"/>
    <mergeCell ref="BK12:BK13"/>
    <mergeCell ref="BK14:BK15"/>
    <mergeCell ref="BX43:BX44"/>
    <mergeCell ref="BX21:BX22"/>
    <mergeCell ref="BX23:BX24"/>
    <mergeCell ref="BX25:BX26"/>
    <mergeCell ref="BX27:BX28"/>
    <mergeCell ref="BX29:BX30"/>
    <mergeCell ref="BX31:BX32"/>
    <mergeCell ref="BW43:BW44"/>
    <mergeCell ref="BX5:BX6"/>
    <mergeCell ref="BX7:BX8"/>
    <mergeCell ref="BX9:BX10"/>
    <mergeCell ref="BX11:BX12"/>
    <mergeCell ref="BX13:BX14"/>
    <mergeCell ref="BX15:BX16"/>
    <mergeCell ref="BX17:BX18"/>
    <mergeCell ref="BX19:BX20"/>
    <mergeCell ref="BW29:BW30"/>
    <mergeCell ref="BW37:BW38"/>
    <mergeCell ref="BW39:BW40"/>
    <mergeCell ref="BW17:BW18"/>
    <mergeCell ref="BW19:BW20"/>
    <mergeCell ref="BW21:BW22"/>
    <mergeCell ref="BW23:BW24"/>
    <mergeCell ref="BW25:BW26"/>
    <mergeCell ref="BK16:BK17"/>
    <mergeCell ref="BK18:BK19"/>
    <mergeCell ref="BK20:BK21"/>
    <mergeCell ref="BJ6:BJ7"/>
    <mergeCell ref="BJ8:BJ9"/>
    <mergeCell ref="BJ10:BJ11"/>
    <mergeCell ref="BJ12:BJ13"/>
    <mergeCell ref="BJ14:BJ15"/>
    <mergeCell ref="BJ16:BJ17"/>
    <mergeCell ref="BH18:BH19"/>
    <mergeCell ref="BH20:BH21"/>
    <mergeCell ref="BI6:BI7"/>
    <mergeCell ref="BI8:BI9"/>
    <mergeCell ref="BI10:BI11"/>
    <mergeCell ref="BI12:BI13"/>
    <mergeCell ref="BI14:BI15"/>
    <mergeCell ref="BI16:BI17"/>
    <mergeCell ref="BI18:BI19"/>
    <mergeCell ref="BI20:BI21"/>
    <mergeCell ref="BH6:BH7"/>
    <mergeCell ref="BH8:BH9"/>
    <mergeCell ref="BH10:BH11"/>
    <mergeCell ref="BH12:BH13"/>
    <mergeCell ref="BH14:BH15"/>
    <mergeCell ref="BH16:BH17"/>
    <mergeCell ref="BF18:BF19"/>
    <mergeCell ref="BF20:BF21"/>
    <mergeCell ref="BG6:BG7"/>
    <mergeCell ref="BG8:BG9"/>
    <mergeCell ref="BG10:BG11"/>
    <mergeCell ref="BG12:BG13"/>
    <mergeCell ref="BG14:BG15"/>
    <mergeCell ref="BG16:BG17"/>
    <mergeCell ref="BG18:BG19"/>
    <mergeCell ref="BG20:BG21"/>
    <mergeCell ref="BF6:BF7"/>
    <mergeCell ref="BF8:BF9"/>
    <mergeCell ref="BF10:BF11"/>
    <mergeCell ref="BF12:BF13"/>
    <mergeCell ref="BF14:BF15"/>
    <mergeCell ref="BF16:BF17"/>
    <mergeCell ref="BD18:BD19"/>
    <mergeCell ref="BD20:BD21"/>
    <mergeCell ref="BE6:BE7"/>
    <mergeCell ref="BE8:BE9"/>
    <mergeCell ref="BE10:BE11"/>
    <mergeCell ref="BE12:BE13"/>
    <mergeCell ref="BE14:BE15"/>
    <mergeCell ref="BE16:BE17"/>
    <mergeCell ref="BE18:BE19"/>
    <mergeCell ref="BE20:BE21"/>
    <mergeCell ref="BD6:BD7"/>
    <mergeCell ref="BD8:BD9"/>
    <mergeCell ref="BD10:BD11"/>
    <mergeCell ref="BD12:BD13"/>
    <mergeCell ref="BD14:BD15"/>
    <mergeCell ref="BD16:BD17"/>
    <mergeCell ref="BB18:BB19"/>
    <mergeCell ref="BB20:BB21"/>
    <mergeCell ref="BC6:BC7"/>
    <mergeCell ref="BC8:BC9"/>
    <mergeCell ref="BC10:BC11"/>
    <mergeCell ref="BC12:BC13"/>
    <mergeCell ref="BC14:BC15"/>
    <mergeCell ref="BC16:BC17"/>
    <mergeCell ref="BC18:BC19"/>
    <mergeCell ref="BC20:BC21"/>
    <mergeCell ref="BB6:BB7"/>
    <mergeCell ref="BB8:BB9"/>
    <mergeCell ref="BB10:BB11"/>
    <mergeCell ref="BB12:BB13"/>
    <mergeCell ref="BB14:BB15"/>
    <mergeCell ref="BB16:BB17"/>
    <mergeCell ref="AZ18:AZ19"/>
    <mergeCell ref="AZ20:AZ21"/>
    <mergeCell ref="BA6:BA7"/>
    <mergeCell ref="BA8:BA9"/>
    <mergeCell ref="BA10:BA11"/>
    <mergeCell ref="BA12:BA13"/>
    <mergeCell ref="BA14:BA15"/>
    <mergeCell ref="BA16:BA17"/>
    <mergeCell ref="BA18:BA19"/>
    <mergeCell ref="BA20:BA21"/>
    <mergeCell ref="AZ6:AZ7"/>
    <mergeCell ref="AZ8:AZ9"/>
    <mergeCell ref="AZ10:AZ11"/>
    <mergeCell ref="AZ12:AZ13"/>
    <mergeCell ref="AZ14:AZ15"/>
    <mergeCell ref="AZ16:AZ17"/>
    <mergeCell ref="AX18:AX19"/>
    <mergeCell ref="AX20:AX21"/>
    <mergeCell ref="AY6:AY7"/>
    <mergeCell ref="AY8:AY9"/>
    <mergeCell ref="AY10:AY11"/>
    <mergeCell ref="AY12:AY13"/>
    <mergeCell ref="AY14:AY15"/>
    <mergeCell ref="AY16:AY17"/>
    <mergeCell ref="AY18:AY19"/>
    <mergeCell ref="AY20:AY21"/>
    <mergeCell ref="AX6:AX7"/>
    <mergeCell ref="AX8:AX9"/>
    <mergeCell ref="AX10:AX11"/>
    <mergeCell ref="AX12:AX13"/>
    <mergeCell ref="AX14:AX15"/>
    <mergeCell ref="AX16:AX17"/>
    <mergeCell ref="B45:C45"/>
    <mergeCell ref="D45:N45"/>
    <mergeCell ref="W45:X45"/>
    <mergeCell ref="Z45:AA45"/>
    <mergeCell ref="AB45:AL45"/>
    <mergeCell ref="AU45:AV45"/>
    <mergeCell ref="B38:C38"/>
    <mergeCell ref="D38:N38"/>
    <mergeCell ref="W38:X38"/>
    <mergeCell ref="Z38:AA38"/>
    <mergeCell ref="AB38:AL38"/>
    <mergeCell ref="AU38:AV38"/>
    <mergeCell ref="B31:C31"/>
    <mergeCell ref="D31:N31"/>
    <mergeCell ref="W31:X31"/>
    <mergeCell ref="Z31:AA31"/>
    <mergeCell ref="AB31:AL31"/>
    <mergeCell ref="AU31:AV31"/>
    <mergeCell ref="B24:C24"/>
    <mergeCell ref="D24:N24"/>
    <mergeCell ref="W24:X24"/>
    <mergeCell ref="Z24:AA24"/>
    <mergeCell ref="AB24:AL24"/>
    <mergeCell ref="AU24:AV24"/>
    <mergeCell ref="B3:C3"/>
    <mergeCell ref="D3:N3"/>
    <mergeCell ref="W3:X3"/>
    <mergeCell ref="Z3:AA3"/>
    <mergeCell ref="AB3:AL3"/>
    <mergeCell ref="AU3:AV3"/>
    <mergeCell ref="B17:C17"/>
    <mergeCell ref="D17:N17"/>
    <mergeCell ref="W17:X17"/>
    <mergeCell ref="Z17:AA17"/>
    <mergeCell ref="AB17:AL17"/>
    <mergeCell ref="AU17:AV17"/>
    <mergeCell ref="B10:C10"/>
    <mergeCell ref="D10:N10"/>
    <mergeCell ref="W10:X10"/>
    <mergeCell ref="Z10:AA10"/>
    <mergeCell ref="AB10:AL10"/>
    <mergeCell ref="AU10:AV10"/>
  </mergeCells>
  <pageMargins left="0.75" right="0.75" top="1" bottom="1" header="0.5" footer="0.5"/>
  <pageSetup paperSize="9" orientation="portrait" horizontalDpi="4294967293" verticalDpi="4294967293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253" r:id="rId4" name="CommandButton1">
          <controlPr defaultSize="0" autoPict="0" altText="" r:id="rId5">
            <anchor moveWithCells="1">
              <from>
                <xdr:col>49</xdr:col>
                <xdr:colOff>571500</xdr:colOff>
                <xdr:row>0</xdr:row>
                <xdr:rowOff>114300</xdr:rowOff>
              </from>
              <to>
                <xdr:col>51</xdr:col>
                <xdr:colOff>285750</xdr:colOff>
                <xdr:row>3</xdr:row>
                <xdr:rowOff>95250</xdr:rowOff>
              </to>
            </anchor>
          </controlPr>
        </control>
      </mc:Choice>
      <mc:Fallback>
        <control shapeId="1253" r:id="rId4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8D0-CF1A-435C-A915-BC98956EE87F}">
  <sheetPr codeName="Foglio3">
    <tabColor indexed="44"/>
  </sheetPr>
  <dimension ref="B1:AM38"/>
  <sheetViews>
    <sheetView zoomScale="70" zoomScaleNormal="70" workbookViewId="0">
      <selection activeCell="L9" sqref="L9"/>
    </sheetView>
  </sheetViews>
  <sheetFormatPr defaultColWidth="4.90625" defaultRowHeight="16.5" customHeight="1" x14ac:dyDescent="0.25"/>
  <sheetData>
    <row r="1" spans="2:39" ht="12.5" x14ac:dyDescent="0.25">
      <c r="AM1" s="270"/>
    </row>
    <row r="2" spans="2:39" ht="16.5" customHeight="1" x14ac:dyDescent="0.25">
      <c r="B2" s="71"/>
      <c r="W2" s="11"/>
    </row>
    <row r="3" spans="2:39" ht="16.5" customHeight="1" x14ac:dyDescent="0.25">
      <c r="O3" s="266"/>
      <c r="AF3" s="266"/>
    </row>
    <row r="4" spans="2:39" ht="16.5" customHeight="1" x14ac:dyDescent="0.25">
      <c r="J4" s="267"/>
      <c r="K4" s="172"/>
      <c r="L4" s="266"/>
      <c r="AC4" s="266"/>
    </row>
    <row r="5" spans="2:39" ht="16.5" customHeight="1" x14ac:dyDescent="0.25">
      <c r="J5" s="268"/>
      <c r="K5" s="268"/>
      <c r="AB5" s="11"/>
    </row>
    <row r="6" spans="2:39" ht="16.5" customHeight="1" x14ac:dyDescent="0.25">
      <c r="J6" s="269"/>
      <c r="K6" s="269"/>
    </row>
    <row r="9" spans="2:39" ht="12.5" x14ac:dyDescent="0.25">
      <c r="D9" t="str">
        <f>'Proposte d''Acquisto'!B33</f>
        <v>VINCENZO</v>
      </c>
      <c r="E9" t="str">
        <f>'Proposte d''Acquisto'!B23</f>
        <v>MOLINA</v>
      </c>
      <c r="F9" t="str">
        <f>'Proposte d''Acquisto'!B38</f>
        <v>DARIO</v>
      </c>
      <c r="G9" t="str">
        <f>'Proposte d''Acquisto'!B13</f>
        <v>FABRIZIO</v>
      </c>
      <c r="H9" t="str">
        <f>'Proposte d''Acquisto'!B18</f>
        <v>DANIELE</v>
      </c>
      <c r="I9" t="str">
        <f>'Proposte d''Acquisto'!B8</f>
        <v>RICCARDO</v>
      </c>
      <c r="J9" t="str">
        <f>'Proposte d''Acquisto'!B3</f>
        <v>ENRICO</v>
      </c>
      <c r="K9" t="str">
        <f>'Proposte d''Acquisto'!B28</f>
        <v>EUGENIO</v>
      </c>
    </row>
    <row r="10" spans="2:39" ht="12.5" x14ac:dyDescent="0.25"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2:39" ht="16.5" customHeight="1" x14ac:dyDescent="0.25">
      <c r="C11">
        <v>1</v>
      </c>
      <c r="D11" s="201">
        <f>SUM(CAMPIONATO!$E$7)</f>
        <v>0</v>
      </c>
      <c r="E11" s="201">
        <f>SUM(CAMPIONATO!$E$6)</f>
        <v>0</v>
      </c>
      <c r="F11" s="201">
        <f>SUM(CAMPIONATO!$F$5)</f>
        <v>0</v>
      </c>
      <c r="G11" s="201">
        <f>SUM(CAMPIONATO!$E$5)</f>
        <v>0</v>
      </c>
      <c r="H11" s="201">
        <f>SUM(CAMPIONATO!$F$7)</f>
        <v>0</v>
      </c>
      <c r="I11" s="201">
        <f>SUM(CAMPIONATO!$F$4)</f>
        <v>0</v>
      </c>
      <c r="J11" s="201">
        <f>SUM(CAMPIONATO!$E$4)</f>
        <v>0</v>
      </c>
      <c r="K11" s="201">
        <f>SUM(CAMPIONATO!$F$6)</f>
        <v>0</v>
      </c>
      <c r="L11" s="201"/>
      <c r="M11" s="201"/>
      <c r="N11" s="201"/>
      <c r="O11" s="201"/>
      <c r="P11" s="201"/>
      <c r="Q11" s="201"/>
      <c r="R11" s="201"/>
      <c r="S11" s="201"/>
    </row>
    <row r="12" spans="2:39" ht="16.5" customHeight="1" x14ac:dyDescent="0.25">
      <c r="C12">
        <v>2</v>
      </c>
      <c r="D12" s="201">
        <f>SUM(CAMPIONATO!$E$7,CAMPIONATO!$F$12)</f>
        <v>0</v>
      </c>
      <c r="E12" s="201">
        <f>SUM(CAMPIONATO!$E$6,CAMPIONATO!$F$13)</f>
        <v>0</v>
      </c>
      <c r="F12" s="201">
        <f>SUM(CAMPIONATO!$F$5,CAMPIONATO!$E$13)</f>
        <v>0</v>
      </c>
      <c r="G12" s="201">
        <f>SUM(CAMPIONATO!$E$5,CAMPIONATO!$E$12)</f>
        <v>0</v>
      </c>
      <c r="H12" s="201">
        <f>SUM(CAMPIONATO!$F$7,CAMPIONATO!$E$14)</f>
        <v>0</v>
      </c>
      <c r="I12" s="201">
        <f>SUM(CAMPIONATO!$F$4,CAMPIONATO!$E$11)</f>
        <v>0</v>
      </c>
      <c r="J12" s="201">
        <f>SUM(CAMPIONATO!$E$4,CAMPIONATO!$F$14)</f>
        <v>0</v>
      </c>
      <c r="K12" s="201">
        <f>SUM(CAMPIONATO!$F$6,CAMPIONATO!$F$11)</f>
        <v>0</v>
      </c>
      <c r="L12" s="201"/>
      <c r="M12" s="201"/>
      <c r="N12" s="201"/>
      <c r="O12" s="201"/>
      <c r="P12" s="201"/>
      <c r="Q12" s="201"/>
      <c r="R12" s="201"/>
      <c r="S12" s="201"/>
    </row>
    <row r="13" spans="2:39" ht="16.5" customHeight="1" x14ac:dyDescent="0.25">
      <c r="C13">
        <v>3</v>
      </c>
      <c r="D13" s="201">
        <f>SUM(CAMPIONATO!$E$7,CAMPIONATO!$F$12,CAMPIONATO!$E$20)</f>
        <v>0</v>
      </c>
      <c r="E13" s="201">
        <f>SUM(CAMPIONATO!$E$6,CAMPIONATO!$F$13,CAMPIONATO!$E$18)</f>
        <v>0</v>
      </c>
      <c r="F13" s="201">
        <f>SUM(CAMPIONATO!$F$5,CAMPIONATO!$E$13,CAMPIONATO!$E$19)</f>
        <v>0</v>
      </c>
      <c r="G13" s="201">
        <f>SUM(CAMPIONATO!$E$5,CAMPIONATO!$E$12,CAMPIONATO!$F$18)</f>
        <v>0</v>
      </c>
      <c r="H13" s="201">
        <f>SUM(CAMPIONATO!$F$7,CAMPIONATO!$E$14,CAMPIONATO!$F$19)</f>
        <v>0</v>
      </c>
      <c r="I13" s="201">
        <f>SUM(CAMPIONATO!$F$4,CAMPIONATO!$E$11,CAMPIONATO!$F$20)</f>
        <v>0</v>
      </c>
      <c r="J13" s="201">
        <f>SUM(CAMPIONATO!$E$4,CAMPIONATO!$F$14,CAMPIONATO!$F$21)</f>
        <v>0</v>
      </c>
      <c r="K13" s="201">
        <f>SUM(CAMPIONATO!$F$6,CAMPIONATO!$F$11,CAMPIONATO!$E$21)</f>
        <v>0</v>
      </c>
      <c r="L13" s="201"/>
      <c r="M13" s="201"/>
      <c r="N13" s="201"/>
      <c r="O13" s="201"/>
      <c r="P13" s="201"/>
      <c r="Q13" s="201"/>
      <c r="R13" s="201"/>
      <c r="S13" s="201"/>
    </row>
    <row r="14" spans="2:39" ht="16.5" customHeight="1" x14ac:dyDescent="0.25">
      <c r="C14">
        <v>4</v>
      </c>
      <c r="D14" s="201">
        <f>SUM(CAMPIONATO!$E$7,CAMPIONATO!$F$12,CAMPIONATO!$E$20,CAMPIONATO!$F$25)</f>
        <v>0</v>
      </c>
      <c r="E14" s="201">
        <f>SUM(CAMPIONATO!$E$6,CAMPIONATO!$F$13,CAMPIONATO!$E$18,CAMPIONATO!$F$27)</f>
        <v>0</v>
      </c>
      <c r="F14" s="201">
        <f>SUM(CAMPIONATO!$F$5,CAMPIONATO!$E$13,CAMPIONATO!$E$19,CAMPIONATO!$F$28)</f>
        <v>0</v>
      </c>
      <c r="G14" s="201">
        <f>SUM(CAMPIONATO!$E$5,CAMPIONATO!$E$12,CAMPIONATO!$F$18,CAMPIONATO!$F$26)</f>
        <v>0</v>
      </c>
      <c r="H14" s="201">
        <f>SUM(CAMPIONATO!$F$7,CAMPIONATO!$E$14,CAMPIONATO!$F$19,CAMPIONATO!$E$27)</f>
        <v>0</v>
      </c>
      <c r="I14" s="201">
        <f>SUM(CAMPIONATO!$F$4,CAMPIONATO!$E$11,CAMPIONATO!$F$20,CAMPIONATO!$E$28)</f>
        <v>0</v>
      </c>
      <c r="J14" s="201">
        <f>SUM(CAMPIONATO!$E$4,CAMPIONATO!$F$14,CAMPIONATO!$F$21,CAMPIONATO!$E$25)</f>
        <v>0</v>
      </c>
      <c r="K14" s="201">
        <f>SUM(CAMPIONATO!$F$6,CAMPIONATO!$F$11,CAMPIONATO!$E$21,CAMPIONATO!$E$26)</f>
        <v>0</v>
      </c>
      <c r="L14" s="201"/>
      <c r="M14" s="201"/>
      <c r="N14" s="201"/>
      <c r="O14" s="201"/>
      <c r="P14" s="201"/>
      <c r="Q14" s="201"/>
      <c r="R14" s="201"/>
      <c r="S14" s="201"/>
    </row>
    <row r="15" spans="2:39" ht="16.5" customHeight="1" x14ac:dyDescent="0.25">
      <c r="C15">
        <v>5</v>
      </c>
      <c r="D15" s="201">
        <f>SUM(CAMPIONATO!$E$7,CAMPIONATO!$F$12,CAMPIONATO!$E$20,CAMPIONATO!$F$25,CAMPIONATO!$E$35)</f>
        <v>0</v>
      </c>
      <c r="E15" s="201">
        <f>SUM(CAMPIONATO!$E$6,CAMPIONATO!$F$13,CAMPIONATO!$E$18,CAMPIONATO!$F$27,CAMPIONATO!$E$33)</f>
        <v>0</v>
      </c>
      <c r="F15" s="201">
        <f>SUM(CAMPIONATO!$F$5,CAMPIONATO!$E$13,CAMPIONATO!$E$19,CAMPIONATO!$F$28,CAMPIONATO!$E$34)</f>
        <v>0</v>
      </c>
      <c r="G15" s="201">
        <f>SUM(CAMPIONATO!$E$5,CAMPIONATO!$E$12,CAMPIONATO!$F$18,CAMPIONATO!$F$26,CAMPIONATO!$E$32)</f>
        <v>0</v>
      </c>
      <c r="H15" s="201">
        <f>SUM(CAMPIONATO!$F$7,CAMPIONATO!$E$14,CAMPIONATO!$F$19,CAMPIONATO!$E$27,CAMPIONATO!$F$32)</f>
        <v>0</v>
      </c>
      <c r="I15" s="201">
        <f>SUM(CAMPIONATO!$F$4,CAMPIONATO!$E$11,CAMPIONATO!$F$20,CAMPIONATO!$E$28,CAMPIONATO!$F$33)</f>
        <v>0</v>
      </c>
      <c r="J15" s="201">
        <f>SUM(CAMPIONATO!$E$4,CAMPIONATO!$F$14,CAMPIONATO!$F$21,CAMPIONATO!$E$25,CAMPIONATO!$F$34)</f>
        <v>0</v>
      </c>
      <c r="K15" s="201">
        <f>SUM(CAMPIONATO!$F$6,CAMPIONATO!$F$11,CAMPIONATO!$E$21,CAMPIONATO!$E$26,CAMPIONATO!$F$35)</f>
        <v>0</v>
      </c>
      <c r="L15" s="201"/>
      <c r="M15" s="201"/>
      <c r="N15" s="201"/>
      <c r="O15" s="201"/>
      <c r="P15" s="201"/>
      <c r="Q15" s="201"/>
      <c r="R15" s="201"/>
      <c r="S15" s="201"/>
    </row>
    <row r="16" spans="2:39" ht="16.5" customHeight="1" x14ac:dyDescent="0.25">
      <c r="C16">
        <v>6</v>
      </c>
      <c r="D16" s="201">
        <f>SUM(CAMPIONATO!$E$7,CAMPIONATO!$F$12,CAMPIONATO!$E$20,CAMPIONATO!$F$25,CAMPIONATO!$E$35,CAMPIONATO!$E$41)</f>
        <v>0</v>
      </c>
      <c r="E16" s="201">
        <f>SUM(CAMPIONATO!$E$6,CAMPIONATO!$F$13,CAMPIONATO!$E$18,CAMPIONATO!$F$27,CAMPIONATO!$E$33,CAMPIONATO!$F$41)</f>
        <v>0</v>
      </c>
      <c r="F16" s="201">
        <f>SUM(CAMPIONATO!$F$5,CAMPIONATO!$E$13,CAMPIONATO!$E$19,CAMPIONATO!$F$28,CAMPIONATO!$E$34,CAMPIONATO!$F$42)</f>
        <v>0</v>
      </c>
      <c r="G16" s="201">
        <f>SUM(CAMPIONATO!$E$5,CAMPIONATO!$E$12,CAMPIONATO!$F$18,CAMPIONATO!$F$26,CAMPIONATO!$E$32,CAMPIONATO!$F$40)</f>
        <v>0</v>
      </c>
      <c r="H16" s="201">
        <f>SUM(CAMPIONATO!$F$7,CAMPIONATO!$E$14,CAMPIONATO!$F$19,CAMPIONATO!$E$27,CAMPIONATO!$F$32,CAMPIONATO!$F$39)</f>
        <v>0</v>
      </c>
      <c r="I16" s="201">
        <f>SUM(CAMPIONATO!$F$4,CAMPIONATO!$E$11,CAMPIONATO!$F$20,CAMPIONATO!$E$28,CAMPIONATO!$F$33,CAMPIONATO!$E$39)</f>
        <v>0</v>
      </c>
      <c r="J16" s="201">
        <f>SUM(CAMPIONATO!$E$4,CAMPIONATO!$F$14,CAMPIONATO!$F$21,CAMPIONATO!$E$25,CAMPIONATO!$F$34,CAMPIONATO!$E$40)</f>
        <v>0</v>
      </c>
      <c r="K16" s="201">
        <f>SUM(CAMPIONATO!$F$6,CAMPIONATO!$F$11,CAMPIONATO!$E$21,CAMPIONATO!$E$26,CAMPIONATO!$F$35,CAMPIONATO!$E$42)</f>
        <v>0</v>
      </c>
      <c r="L16" s="201"/>
      <c r="M16" s="201"/>
      <c r="N16" s="201"/>
      <c r="O16" s="201"/>
      <c r="P16" s="201"/>
      <c r="Q16" s="201"/>
      <c r="R16" s="201"/>
      <c r="S16" s="201"/>
    </row>
    <row r="17" spans="3:19" ht="16.5" customHeight="1" x14ac:dyDescent="0.25">
      <c r="C17">
        <v>7</v>
      </c>
      <c r="D17" s="201">
        <f>SUM(CAMPIONATO!$E$7,CAMPIONATO!$F$12,CAMPIONATO!$E$20,CAMPIONATO!$F$25,CAMPIONATO!$E$35,CAMPIONATO!$E$41,CAMPIONATO!$F$49)</f>
        <v>0</v>
      </c>
      <c r="E17" s="201">
        <f>SUM(CAMPIONATO!$E$6,CAMPIONATO!$F$13,CAMPIONATO!$E$18,CAMPIONATO!$F$27,CAMPIONATO!$E$33,CAMPIONATO!$F$41,CAMPIONATO!$E$48)</f>
        <v>0</v>
      </c>
      <c r="F17" s="201">
        <f>SUM(CAMPIONATO!$F$5,CAMPIONATO!$E$13,CAMPIONATO!$E$19,CAMPIONATO!$F$28,CAMPIONATO!$E$34,CAMPIONATO!$F$42,CAMPIONATO!$E$49)</f>
        <v>0</v>
      </c>
      <c r="G17" s="201">
        <f>SUM(CAMPIONATO!$E$5,CAMPIONATO!$E$12,CAMPIONATO!$F$18,CAMPIONATO!$F$26,CAMPIONATO!$E$32,CAMPIONATO!$F$40,CAMPIONATO!$E$47)</f>
        <v>0</v>
      </c>
      <c r="H17" s="201">
        <f>SUM(CAMPIONATO!$F$7,CAMPIONATO!$E$14,CAMPIONATO!$F$19,CAMPIONATO!$E$27,CAMPIONATO!$F$32,CAMPIONATO!$F$39,CAMPIONATO!$E$46)</f>
        <v>0</v>
      </c>
      <c r="I17" s="201">
        <f>SUM(CAMPIONATO!$F$4,CAMPIONATO!$E$11,CAMPIONATO!$F$20,CAMPIONATO!$E$28,CAMPIONATO!$F$33,CAMPIONATO!$E$39,CAMPIONATO!$F$47)</f>
        <v>0</v>
      </c>
      <c r="J17" s="201">
        <f>SUM(CAMPIONATO!$E$4,CAMPIONATO!$F$14,CAMPIONATO!$F$21,CAMPIONATO!$E$25,CAMPIONATO!$F$34,CAMPIONATO!$E$40,CAMPIONATO!$F$48)</f>
        <v>0</v>
      </c>
      <c r="K17" s="201">
        <f>SUM(CAMPIONATO!$F$6,CAMPIONATO!$F$11,CAMPIONATO!$E$21,CAMPIONATO!$E$26,CAMPIONATO!$F$35,CAMPIONATO!$E$42,CAMPIONATO!$F$46)</f>
        <v>0</v>
      </c>
      <c r="L17" s="201"/>
      <c r="M17" s="201"/>
      <c r="N17" s="201"/>
      <c r="O17" s="201"/>
      <c r="P17" s="201"/>
      <c r="Q17" s="201"/>
      <c r="R17" s="201"/>
      <c r="S17" s="201"/>
    </row>
    <row r="18" spans="3:19" ht="16.5" customHeight="1" x14ac:dyDescent="0.25">
      <c r="C18">
        <v>8</v>
      </c>
      <c r="D18" s="201">
        <f>SUM(CAMPIONATO!$E$7,CAMPIONATO!$F$12,CAMPIONATO!$E$20,CAMPIONATO!$F$25,CAMPIONATO!$E$35,CAMPIONATO!$E$41,CAMPIONATO!$F$49,CAMPIONATO!$O$7)</f>
        <v>0</v>
      </c>
      <c r="E18" s="201">
        <f>SUM(CAMPIONATO!$E$6,CAMPIONATO!$F$13,CAMPIONATO!$E$18,CAMPIONATO!$F$27,CAMPIONATO!$E$33,CAMPIONATO!$F$41,CAMPIONATO!$E$48,CAMPIONATO!$O$6)</f>
        <v>0</v>
      </c>
      <c r="F18" s="201">
        <f>SUM(CAMPIONATO!$F$5,CAMPIONATO!$E$13,CAMPIONATO!$E$19,CAMPIONATO!$F$28,CAMPIONATO!$E$34,CAMPIONATO!$F$42,CAMPIONATO!$E$49,CAMPIONATO!$P$5)</f>
        <v>0</v>
      </c>
      <c r="G18" s="201">
        <f>SUM(CAMPIONATO!$E$5,CAMPIONATO!$E$12,CAMPIONATO!$F$18,CAMPIONATO!$F$26,CAMPIONATO!$E$32,CAMPIONATO!$F$40,CAMPIONATO!$E$47,CAMPIONATO!$O$5)</f>
        <v>0</v>
      </c>
      <c r="H18" s="201">
        <f>SUM(CAMPIONATO!$F$7,CAMPIONATO!$E$14,CAMPIONATO!$F$19,CAMPIONATO!$E$27,CAMPIONATO!$F$32,CAMPIONATO!$F$39,CAMPIONATO!$E$46,CAMPIONATO!$P$7)</f>
        <v>0</v>
      </c>
      <c r="I18" s="201">
        <f>SUM(CAMPIONATO!$F$4,CAMPIONATO!$E$11,CAMPIONATO!$F$20,CAMPIONATO!$E$28,CAMPIONATO!$F$33,CAMPIONATO!$E$39,CAMPIONATO!$F$47,CAMPIONATO!$P$4)</f>
        <v>0</v>
      </c>
      <c r="J18" s="201">
        <f>SUM(CAMPIONATO!$E$4,CAMPIONATO!$F$14,CAMPIONATO!$F$21,CAMPIONATO!$E$25,CAMPIONATO!$F$34,CAMPIONATO!$E$40,CAMPIONATO!$F$48,CAMPIONATO!$O$4)</f>
        <v>0</v>
      </c>
      <c r="K18" s="201">
        <f>SUM(CAMPIONATO!$F$6,CAMPIONATO!$F$11,CAMPIONATO!$E$21,CAMPIONATO!$E$26,CAMPIONATO!$F$35,CAMPIONATO!$E$42,CAMPIONATO!$F$46,CAMPIONATO!$P$6)</f>
        <v>0</v>
      </c>
      <c r="L18" s="201"/>
      <c r="M18" s="201"/>
      <c r="N18" s="201"/>
      <c r="O18" s="201"/>
      <c r="P18" s="201"/>
      <c r="Q18" s="201"/>
      <c r="R18" s="201"/>
      <c r="S18" s="201"/>
    </row>
    <row r="19" spans="3:19" ht="16.5" customHeight="1" x14ac:dyDescent="0.25">
      <c r="C19">
        <v>9</v>
      </c>
      <c r="D19" s="201">
        <f>SUM(CAMPIONATO!$E$7,CAMPIONATO!$F$12,CAMPIONATO!$E$20,CAMPIONATO!$F$25,CAMPIONATO!$E$35,CAMPIONATO!$E$41,CAMPIONATO!$F$49,CAMPIONATO!$O$7,CAMPIONATO!$P$12)</f>
        <v>0</v>
      </c>
      <c r="E19" s="201">
        <f>SUM(CAMPIONATO!$E$6,CAMPIONATO!$F$13,CAMPIONATO!$E$18,CAMPIONATO!$F$27,CAMPIONATO!$E$33,CAMPIONATO!$F$41,CAMPIONATO!$E$48,CAMPIONATO!$O$6,CAMPIONATO!$P$13)</f>
        <v>0</v>
      </c>
      <c r="F19" s="201">
        <f>SUM(CAMPIONATO!$F$5,CAMPIONATO!$E$13,CAMPIONATO!$E$19,CAMPIONATO!$F$28,CAMPIONATO!$E$34,CAMPIONATO!$F$42,CAMPIONATO!$E$49,CAMPIONATO!$P$5,CAMPIONATO!$O$13)</f>
        <v>0</v>
      </c>
      <c r="G19" s="201">
        <f>SUM(CAMPIONATO!$E$5,CAMPIONATO!$E$12,CAMPIONATO!$F$18,CAMPIONATO!$F$26,CAMPIONATO!$E$32,CAMPIONATO!$F$40,CAMPIONATO!$E$47,CAMPIONATO!$O$5,CAMPIONATO!$O$12)</f>
        <v>0</v>
      </c>
      <c r="H19" s="201">
        <f>SUM(CAMPIONATO!$F$7,CAMPIONATO!$E$14,CAMPIONATO!$F$19,CAMPIONATO!$E$27,CAMPIONATO!$F$32,CAMPIONATO!$F$39,CAMPIONATO!$E$46,CAMPIONATO!$P$7,CAMPIONATO!$O$14)</f>
        <v>0</v>
      </c>
      <c r="I19" s="201">
        <f>SUM(CAMPIONATO!$F$4,CAMPIONATO!$E$11,CAMPIONATO!$F$20,CAMPIONATO!$E$28,CAMPIONATO!$F$33,CAMPIONATO!$E$39,CAMPIONATO!$F$47,CAMPIONATO!$P$4,CAMPIONATO!$O$11)</f>
        <v>0</v>
      </c>
      <c r="J19" s="201">
        <f>SUM(CAMPIONATO!$E$4,CAMPIONATO!$F$14,CAMPIONATO!$F$21,CAMPIONATO!$E$25,CAMPIONATO!$F$34,CAMPIONATO!$E$40,CAMPIONATO!$F$48,CAMPIONATO!$O$4,CAMPIONATO!$P$14)</f>
        <v>0</v>
      </c>
      <c r="K19" s="201">
        <f>SUM(CAMPIONATO!$F$6,CAMPIONATO!$F$11,CAMPIONATO!$E$21,CAMPIONATO!$E$26,CAMPIONATO!$F$35,CAMPIONATO!$E$42,CAMPIONATO!$F$46,CAMPIONATO!$P$6,CAMPIONATO!$P$11)</f>
        <v>0</v>
      </c>
      <c r="L19" s="201"/>
      <c r="M19" s="201"/>
      <c r="N19" s="201"/>
      <c r="O19" s="201"/>
      <c r="P19" s="201"/>
      <c r="Q19" s="201"/>
      <c r="R19" s="201"/>
      <c r="S19" s="201"/>
    </row>
    <row r="20" spans="3:19" ht="16.5" customHeight="1" x14ac:dyDescent="0.25">
      <c r="C20">
        <v>10</v>
      </c>
      <c r="D20" s="201">
        <f>SUM(CAMPIONATO!$E$7,CAMPIONATO!$F$12,CAMPIONATO!$E$20,CAMPIONATO!$F$25,CAMPIONATO!$E$35,CAMPIONATO!$E$41,CAMPIONATO!$F$49,CAMPIONATO!$O$7,CAMPIONATO!$P$12,CAMPIONATO!$O$20)</f>
        <v>0</v>
      </c>
      <c r="E20" s="201">
        <f>SUM(CAMPIONATO!$E$6,CAMPIONATO!$F$13,CAMPIONATO!$E$18,CAMPIONATO!$F$27,CAMPIONATO!$E$33,CAMPIONATO!$F$41,CAMPIONATO!$E$48,CAMPIONATO!$O$6,CAMPIONATO!$P$13,CAMPIONATO!$O$18)</f>
        <v>0</v>
      </c>
      <c r="F20" s="201">
        <f>SUM(CAMPIONATO!$F$5,CAMPIONATO!$E$13,CAMPIONATO!$E$19,CAMPIONATO!$F$28,CAMPIONATO!$E$34,CAMPIONATO!$F$42,CAMPIONATO!$E$49,CAMPIONATO!$P$5,CAMPIONATO!$O$13,CAMPIONATO!$O$19)</f>
        <v>0</v>
      </c>
      <c r="G20" s="201">
        <f>SUM(CAMPIONATO!$E$5,CAMPIONATO!$E$12,CAMPIONATO!$F$18,CAMPIONATO!$F$26,CAMPIONATO!$E$32,CAMPIONATO!$F$40,CAMPIONATO!$E$47,CAMPIONATO!$O$5,CAMPIONATO!$O$12,CAMPIONATO!$P$18)</f>
        <v>0</v>
      </c>
      <c r="H20" s="201">
        <f>SUM(CAMPIONATO!$F$7,CAMPIONATO!$E$14,CAMPIONATO!$F$19,CAMPIONATO!$E$27,CAMPIONATO!$F$32,CAMPIONATO!$F$39,CAMPIONATO!$E$46,CAMPIONATO!$P$7,CAMPIONATO!$O$14,CAMPIONATO!$P$19)</f>
        <v>0</v>
      </c>
      <c r="I20" s="201">
        <f>SUM(CAMPIONATO!$F$4,CAMPIONATO!$E$11,CAMPIONATO!$F$20,CAMPIONATO!$E$28,CAMPIONATO!$F$33,CAMPIONATO!$E$39,CAMPIONATO!$F$47,CAMPIONATO!$P$4,CAMPIONATO!$O$11,CAMPIONATO!$P$20)</f>
        <v>0</v>
      </c>
      <c r="J20" s="201">
        <f>SUM(CAMPIONATO!$E$4,CAMPIONATO!$F$14,CAMPIONATO!$F$21,CAMPIONATO!$E$25,CAMPIONATO!$F$34,CAMPIONATO!$E$40,CAMPIONATO!$F$48,CAMPIONATO!$O$4,CAMPIONATO!$P$14,CAMPIONATO!$P$21)</f>
        <v>0</v>
      </c>
      <c r="K20" s="201">
        <f>SUM(CAMPIONATO!$F$6,CAMPIONATO!$F$11,CAMPIONATO!$E$21,CAMPIONATO!$E$26,CAMPIONATO!$F$35,CAMPIONATO!$E$42,CAMPIONATO!$F$46,CAMPIONATO!$P$6,CAMPIONATO!$P$11,CAMPIONATO!$O$21)</f>
        <v>0</v>
      </c>
      <c r="L20" s="201"/>
      <c r="M20" s="201"/>
      <c r="N20" s="201"/>
      <c r="O20" s="201"/>
      <c r="P20" s="201"/>
      <c r="Q20" s="201"/>
      <c r="R20" s="201"/>
      <c r="S20" s="201"/>
    </row>
    <row r="21" spans="3:19" ht="16.5" customHeight="1" x14ac:dyDescent="0.25">
      <c r="C21">
        <v>11</v>
      </c>
      <c r="D21" s="201">
        <f>SUM(CAMPIONATO!$E$7,CAMPIONATO!$F$12,CAMPIONATO!$E$20,CAMPIONATO!$F$25,CAMPIONATO!$E$35,CAMPIONATO!$E$41,CAMPIONATO!$F$49,CAMPIONATO!$O$7,CAMPIONATO!$P$12,CAMPIONATO!$O$20,CAMPIONATO!$P$25)</f>
        <v>0</v>
      </c>
      <c r="E21" s="201">
        <f>SUM(CAMPIONATO!$E$6,CAMPIONATO!$F$13,CAMPIONATO!$E$18,CAMPIONATO!$F$27,CAMPIONATO!$E$33,CAMPIONATO!$F$41,CAMPIONATO!$E$48,CAMPIONATO!$O$6,CAMPIONATO!$P$13,CAMPIONATO!$O$18,CAMPIONATO!$P$27)</f>
        <v>0</v>
      </c>
      <c r="F21" s="201">
        <f>SUM(CAMPIONATO!$F$5,CAMPIONATO!$E$13,CAMPIONATO!$E$19,CAMPIONATO!$F$28,CAMPIONATO!$E$34,CAMPIONATO!$F$42,CAMPIONATO!$E$49,CAMPIONATO!$P$5,CAMPIONATO!$O$13,CAMPIONATO!$O$19,CAMPIONATO!$P$28)</f>
        <v>0</v>
      </c>
      <c r="G21" s="201">
        <f>SUM(CAMPIONATO!$E$5,CAMPIONATO!$E$12,CAMPIONATO!$F$18,CAMPIONATO!$F$26,CAMPIONATO!$E$32,CAMPIONATO!$F$40,CAMPIONATO!$E$47,CAMPIONATO!$O$5,CAMPIONATO!$O$12,CAMPIONATO!$P$18,CAMPIONATO!$P$26)</f>
        <v>0</v>
      </c>
      <c r="H21" s="201">
        <f>SUM(CAMPIONATO!$F$7,CAMPIONATO!$E$14,CAMPIONATO!$F$19,CAMPIONATO!$E$27,CAMPIONATO!$F$32,CAMPIONATO!$F$39,CAMPIONATO!$E$46,CAMPIONATO!$P$7,CAMPIONATO!$O$14,CAMPIONATO!$P$19,CAMPIONATO!$O$27)</f>
        <v>0</v>
      </c>
      <c r="I21" s="201">
        <f>SUM(CAMPIONATO!$F$4,CAMPIONATO!$E$11,CAMPIONATO!$F$20,CAMPIONATO!$E$28,CAMPIONATO!$F$33,CAMPIONATO!$E$39,CAMPIONATO!$F$47,CAMPIONATO!$P$4,CAMPIONATO!$O$11,CAMPIONATO!$P$20,CAMPIONATO!$O$28)</f>
        <v>0</v>
      </c>
      <c r="J21" s="201">
        <f>SUM(CAMPIONATO!$E$4,CAMPIONATO!$F$14,CAMPIONATO!$F$21,CAMPIONATO!$E$25,CAMPIONATO!$F$34,CAMPIONATO!$E$40,CAMPIONATO!$F$48,CAMPIONATO!$O$4,CAMPIONATO!$P$14,CAMPIONATO!$P$21,CAMPIONATO!$O$25)</f>
        <v>0</v>
      </c>
      <c r="K21" s="201">
        <f>SUM(CAMPIONATO!$F$6,CAMPIONATO!$F$11,CAMPIONATO!$E$21,CAMPIONATO!$E$26,CAMPIONATO!$F$35,CAMPIONATO!$E$42,CAMPIONATO!$F$46,CAMPIONATO!$P$6,CAMPIONATO!$P$11,CAMPIONATO!$O$21,CAMPIONATO!$O$26)</f>
        <v>0</v>
      </c>
      <c r="L21" s="201"/>
      <c r="M21" s="201"/>
      <c r="N21" s="201"/>
      <c r="O21" s="201"/>
      <c r="P21" s="201"/>
      <c r="Q21" s="201"/>
      <c r="R21" s="201"/>
      <c r="S21" s="201"/>
    </row>
    <row r="22" spans="3:19" ht="16.5" customHeight="1" x14ac:dyDescent="0.25">
      <c r="C22">
        <v>12</v>
      </c>
      <c r="D22" s="201">
        <f>SUM(CAMPIONATO!$E$7,CAMPIONATO!$F$12,CAMPIONATO!$E$20,CAMPIONATO!$F$25,CAMPIONATO!$E$35,CAMPIONATO!$E$41,CAMPIONATO!$F$49,CAMPIONATO!$O$7,CAMPIONATO!$P$12,CAMPIONATO!$O$20,CAMPIONATO!$P$25,CAMPIONATO!$O$35)</f>
        <v>0</v>
      </c>
      <c r="E22" s="201">
        <f>SUM(CAMPIONATO!$E$6,CAMPIONATO!$F$13,CAMPIONATO!$E$18,CAMPIONATO!$F$27,CAMPIONATO!$E$33,CAMPIONATO!$F$41,CAMPIONATO!$E$48,CAMPIONATO!$O$6,CAMPIONATO!$P$13,CAMPIONATO!$O$18,CAMPIONATO!$P$27,CAMPIONATO!$O$33)</f>
        <v>0</v>
      </c>
      <c r="F22" s="201">
        <f>SUM(CAMPIONATO!$F$5,CAMPIONATO!$E$13,CAMPIONATO!$E$19,CAMPIONATO!$F$28,CAMPIONATO!$E$34,CAMPIONATO!$F$42,CAMPIONATO!$E$49,CAMPIONATO!$P$5,CAMPIONATO!$O$13,CAMPIONATO!$O$19,CAMPIONATO!$P$28,CAMPIONATO!$O$34)</f>
        <v>0</v>
      </c>
      <c r="G22" s="201">
        <f>SUM(CAMPIONATO!$E$5,CAMPIONATO!$E$12,CAMPIONATO!$F$18,CAMPIONATO!$F$26,CAMPIONATO!$E$32,CAMPIONATO!$F$40,CAMPIONATO!$E$47,CAMPIONATO!$O$5,CAMPIONATO!$O$12,CAMPIONATO!$P$18,CAMPIONATO!$P$26,CAMPIONATO!$O$32)</f>
        <v>0</v>
      </c>
      <c r="H22" s="201">
        <f>SUM(CAMPIONATO!$F$7,CAMPIONATO!$E$14,CAMPIONATO!$F$19,CAMPIONATO!$E$27,CAMPIONATO!$F$32,CAMPIONATO!$F$39,CAMPIONATO!$E$46,CAMPIONATO!$P$7,CAMPIONATO!$O$14,CAMPIONATO!$P$19,CAMPIONATO!$O$27,CAMPIONATO!$P$32)</f>
        <v>0</v>
      </c>
      <c r="I22" s="201">
        <f>SUM(CAMPIONATO!$F$4,CAMPIONATO!$E$11,CAMPIONATO!$F$20,CAMPIONATO!$E$28,CAMPIONATO!$F$33,CAMPIONATO!$E$39,CAMPIONATO!$F$47,CAMPIONATO!$P$4,CAMPIONATO!$O$11,CAMPIONATO!$P$20,CAMPIONATO!$O$28,CAMPIONATO!$P$33)</f>
        <v>0</v>
      </c>
      <c r="J22" s="201">
        <f>SUM(CAMPIONATO!$E$4,CAMPIONATO!$F$14,CAMPIONATO!$F$21,CAMPIONATO!$E$25,CAMPIONATO!$F$34,CAMPIONATO!$E$40,CAMPIONATO!$F$48,CAMPIONATO!$O$4,CAMPIONATO!$P$14,CAMPIONATO!$P$21,CAMPIONATO!$O$25,CAMPIONATO!$P$34)</f>
        <v>0</v>
      </c>
      <c r="K22" s="201">
        <f>SUM(CAMPIONATO!$F$6,CAMPIONATO!$F$11,CAMPIONATO!$E$21,CAMPIONATO!$E$26,CAMPIONATO!$F$35,CAMPIONATO!$E$42,CAMPIONATO!$F$46,CAMPIONATO!$P$6,CAMPIONATO!$P$11,CAMPIONATO!$O$21,CAMPIONATO!$O$26,CAMPIONATO!$P$35)</f>
        <v>0</v>
      </c>
      <c r="L22" s="201"/>
      <c r="M22" s="201"/>
      <c r="N22" s="201"/>
      <c r="O22" s="201"/>
      <c r="P22" s="201"/>
      <c r="Q22" s="201"/>
      <c r="R22" s="201"/>
      <c r="S22" s="201"/>
    </row>
    <row r="23" spans="3:19" ht="16.5" customHeight="1" x14ac:dyDescent="0.25">
      <c r="C23">
        <v>13</v>
      </c>
      <c r="D23" s="201">
        <f>SUM(CAMPIONATO!$E$7,CAMPIONATO!$F$12,CAMPIONATO!$E$20,CAMPIONATO!$F$25,CAMPIONATO!$E$35,CAMPIONATO!$E$41,CAMPIONATO!$F$49,CAMPIONATO!$O$7,CAMPIONATO!$P$12,CAMPIONATO!$O$20,CAMPIONATO!$P$25,CAMPIONATO!$O$35,CAMPIONATO!$O$41)</f>
        <v>0</v>
      </c>
      <c r="E23" s="201">
        <f>SUM(CAMPIONATO!$E$6,CAMPIONATO!$F$13,CAMPIONATO!$E$18,CAMPIONATO!$F$27,CAMPIONATO!$E$33,CAMPIONATO!$F$41,CAMPIONATO!$E$48,CAMPIONATO!$O$6,CAMPIONATO!$P$13,CAMPIONATO!$O$18,CAMPIONATO!$P$27,CAMPIONATO!$O$33,CAMPIONATO!$P$41)</f>
        <v>0</v>
      </c>
      <c r="F23" s="201">
        <f>SUM(CAMPIONATO!$F$5,CAMPIONATO!$E$13,CAMPIONATO!$E$19,CAMPIONATO!$F$28,CAMPIONATO!$E$34,CAMPIONATO!$F$42,CAMPIONATO!$E$49,CAMPIONATO!$P$5,CAMPIONATO!$O$13,CAMPIONATO!$O$19,CAMPIONATO!$P$28,CAMPIONATO!$O$34,CAMPIONATO!$P$42)</f>
        <v>0</v>
      </c>
      <c r="G23" s="201">
        <f>SUM(CAMPIONATO!$E$5,CAMPIONATO!$E$12,CAMPIONATO!$F$18,CAMPIONATO!$F$26,CAMPIONATO!$E$32,CAMPIONATO!$F$40,CAMPIONATO!$E$47,CAMPIONATO!$O$5,CAMPIONATO!$O$12,CAMPIONATO!$P$18,CAMPIONATO!$P$26,CAMPIONATO!$O$32,CAMPIONATO!$P$40)</f>
        <v>0</v>
      </c>
      <c r="H23" s="201">
        <f>SUM(CAMPIONATO!$F$7,CAMPIONATO!$E$14,CAMPIONATO!$F$19,CAMPIONATO!$E$27,CAMPIONATO!$F$32,CAMPIONATO!$F$39,CAMPIONATO!$E$46,CAMPIONATO!$P$7,CAMPIONATO!$O$14,CAMPIONATO!$P$19,CAMPIONATO!$O$27,CAMPIONATO!$P$32,CAMPIONATO!$P$39)</f>
        <v>0</v>
      </c>
      <c r="I23" s="201">
        <f>SUM(CAMPIONATO!$F$4,CAMPIONATO!$E$11,CAMPIONATO!$F$20,CAMPIONATO!$E$28,CAMPIONATO!$F$33,CAMPIONATO!$E$39,CAMPIONATO!$F$47,CAMPIONATO!$P$4,CAMPIONATO!$O$11,CAMPIONATO!$P$20,CAMPIONATO!$O$28,CAMPIONATO!$P$33,CAMPIONATO!$O$39)</f>
        <v>0</v>
      </c>
      <c r="J23" s="201">
        <f>SUM(CAMPIONATO!$E$4,CAMPIONATO!$F$14,CAMPIONATO!$F$21,CAMPIONATO!$E$25,CAMPIONATO!$F$34,CAMPIONATO!$E$40,CAMPIONATO!$F$48,CAMPIONATO!$O$4,CAMPIONATO!$P$14,CAMPIONATO!$P$21,CAMPIONATO!$O$25,CAMPIONATO!$P$34,CAMPIONATO!$O$40)</f>
        <v>0</v>
      </c>
      <c r="K23" s="201">
        <f>SUM(CAMPIONATO!$F$6,CAMPIONATO!$F$11,CAMPIONATO!$E$21,CAMPIONATO!$E$26,CAMPIONATO!$F$35,CAMPIONATO!$E$42,CAMPIONATO!$F$46,CAMPIONATO!$P$6,CAMPIONATO!$P$11,CAMPIONATO!$O$21,CAMPIONATO!$O$26,CAMPIONATO!$P$35,CAMPIONATO!$O$42)</f>
        <v>0</v>
      </c>
      <c r="L23" s="201"/>
      <c r="M23" s="201"/>
      <c r="N23" s="201"/>
      <c r="O23" s="201"/>
      <c r="P23" s="201"/>
      <c r="Q23" s="201"/>
      <c r="R23" s="201"/>
      <c r="S23" s="201"/>
    </row>
    <row r="24" spans="3:19" ht="16.5" customHeight="1" x14ac:dyDescent="0.25">
      <c r="C24">
        <v>14</v>
      </c>
      <c r="D24" s="201">
        <f>SUM(CAMPIONATO!$E$7,CAMPIONATO!$F$12,CAMPIONATO!$E$20,CAMPIONATO!$F$25,CAMPIONATO!$E$35,CAMPIONATO!$E$41,CAMPIONATO!$F$49,CAMPIONATO!$O$7,CAMPIONATO!$P$12,CAMPIONATO!$O$20,CAMPIONATO!$P$25,CAMPIONATO!$O$35,CAMPIONATO!$O$41,CAMPIONATO!$P$49)</f>
        <v>0</v>
      </c>
      <c r="E24" s="201">
        <f>SUM(CAMPIONATO!$E$6,CAMPIONATO!$F$13,CAMPIONATO!$E$18,CAMPIONATO!$F$27,CAMPIONATO!$E$33,CAMPIONATO!$F$41,CAMPIONATO!$E$48,CAMPIONATO!$O$6,CAMPIONATO!$P$13,CAMPIONATO!$O$18,CAMPIONATO!$P$27,CAMPIONATO!$O$33,CAMPIONATO!$P$41,CAMPIONATO!$O$48)</f>
        <v>0</v>
      </c>
      <c r="F24" s="201">
        <f>SUM(CAMPIONATO!$F$5,CAMPIONATO!$E$13,CAMPIONATO!$E$19,CAMPIONATO!$F$28,CAMPIONATO!$E$34,CAMPIONATO!$F$42,CAMPIONATO!$E$49,CAMPIONATO!$P$5,CAMPIONATO!$O$13,CAMPIONATO!$O$19,CAMPIONATO!$P$28,CAMPIONATO!$O$34,CAMPIONATO!$P$42,CAMPIONATO!$O$49)</f>
        <v>0</v>
      </c>
      <c r="G24" s="201">
        <f>SUM(CAMPIONATO!$E$5,CAMPIONATO!$E$12,CAMPIONATO!$F$18,CAMPIONATO!$F$26,CAMPIONATO!$E$32,CAMPIONATO!$F$40,CAMPIONATO!$E$47,CAMPIONATO!$O$5,CAMPIONATO!$O$12,CAMPIONATO!$P$18,CAMPIONATO!$P$26,CAMPIONATO!$O$32,CAMPIONATO!$P$40,CAMPIONATO!$O$47)</f>
        <v>0</v>
      </c>
      <c r="H24" s="201">
        <f>SUM(CAMPIONATO!$F$7,CAMPIONATO!$E$14,CAMPIONATO!$F$19,CAMPIONATO!$E$27,CAMPIONATO!$F$32,CAMPIONATO!$F$39,CAMPIONATO!$E$46,CAMPIONATO!$P$7,CAMPIONATO!$O$14,CAMPIONATO!$P$19,CAMPIONATO!$O$27,CAMPIONATO!$P$32,CAMPIONATO!$P$39,CAMPIONATO!$O$46)</f>
        <v>0</v>
      </c>
      <c r="I24" s="201">
        <f>SUM(CAMPIONATO!$F$4,CAMPIONATO!$E$11,CAMPIONATO!$F$20,CAMPIONATO!$E$28,CAMPIONATO!$F$33,CAMPIONATO!$E$39,CAMPIONATO!$F$47,CAMPIONATO!$P$4,CAMPIONATO!$O$11,CAMPIONATO!$P$20,CAMPIONATO!$O$28,CAMPIONATO!$P$33,CAMPIONATO!$O$39,CAMPIONATO!$P$47)</f>
        <v>0</v>
      </c>
      <c r="J24" s="201">
        <f>SUM(CAMPIONATO!$E$4,CAMPIONATO!$F$14,CAMPIONATO!$F$21,CAMPIONATO!$E$25,CAMPIONATO!$F$34,CAMPIONATO!$E$40,CAMPIONATO!$F$48,CAMPIONATO!$O$4,CAMPIONATO!$P$14,CAMPIONATO!$P$21,CAMPIONATO!$O$25,CAMPIONATO!$P$34,CAMPIONATO!$O$40,CAMPIONATO!$P$48)</f>
        <v>0</v>
      </c>
      <c r="K24" s="201">
        <f>SUM(CAMPIONATO!$F$6,CAMPIONATO!$F$11,CAMPIONATO!$E$21,CAMPIONATO!$E$26,CAMPIONATO!$F$35,CAMPIONATO!$E$42,CAMPIONATO!$F$46,CAMPIONATO!$P$6,CAMPIONATO!$P$11,CAMPIONATO!$O$21,CAMPIONATO!$O$26,CAMPIONATO!$P$35,CAMPIONATO!$O$42,CAMPIONATO!$P$46)</f>
        <v>0</v>
      </c>
      <c r="L24" s="201"/>
      <c r="M24" s="201"/>
      <c r="N24" s="201"/>
      <c r="O24" s="201"/>
      <c r="P24" s="201"/>
      <c r="Q24" s="201"/>
      <c r="R24" s="201"/>
      <c r="S24" s="201"/>
    </row>
    <row r="25" spans="3:19" ht="16.5" customHeight="1" x14ac:dyDescent="0.25">
      <c r="C25">
        <v>15</v>
      </c>
      <c r="D25" s="201">
        <f>SUM(CAMPIONATO!$E$7,CAMPIONATO!$F$12,CAMPIONATO!$E$20,CAMPIONATO!$F$25,CAMPIONATO!$E$35,CAMPIONATO!$E$41,CAMPIONATO!$F$49,CAMPIONATO!$O$7,CAMPIONATO!$P$12,CAMPIONATO!$O$20,CAMPIONATO!$P$25,CAMPIONATO!$O$35,CAMPIONATO!$O$41,CAMPIONATO!$P$49,CAMPIONATO!$AC$7)</f>
        <v>0</v>
      </c>
      <c r="E25" s="201">
        <f>SUM(CAMPIONATO!$E$6,CAMPIONATO!$F$13,CAMPIONATO!$E$18,CAMPIONATO!$F$27,CAMPIONATO!$E$33,CAMPIONATO!$F$41,CAMPIONATO!$E$48,CAMPIONATO!$O$6,CAMPIONATO!$P$13,CAMPIONATO!$O$18,CAMPIONATO!$P$27,CAMPIONATO!$O$33,CAMPIONATO!$P$41,CAMPIONATO!$O$48,CAMPIONATO!$AC$6)</f>
        <v>0</v>
      </c>
      <c r="F25" s="201">
        <f>SUM(CAMPIONATO!$F$5,CAMPIONATO!$E$13,CAMPIONATO!$E$19,CAMPIONATO!$F$28,CAMPIONATO!$E$34,CAMPIONATO!$F$42,CAMPIONATO!$E$49,CAMPIONATO!$P$5,CAMPIONATO!$O$13,CAMPIONATO!$O$19,CAMPIONATO!$P$28,CAMPIONATO!$O$34,CAMPIONATO!$P$42,CAMPIONATO!$O$49,CAMPIONATO!$AD$5)</f>
        <v>0</v>
      </c>
      <c r="G25" s="201">
        <f>SUM(CAMPIONATO!$E$5,CAMPIONATO!$E$12,CAMPIONATO!$F$18,CAMPIONATO!$F$26,CAMPIONATO!$E$32,CAMPIONATO!$F$40,CAMPIONATO!$E$47,CAMPIONATO!$O$5,CAMPIONATO!$O$12,CAMPIONATO!$P$18,CAMPIONATO!$P$26,CAMPIONATO!$O$32,CAMPIONATO!$P$40,CAMPIONATO!$O$47,CAMPIONATO!$AC$5)</f>
        <v>0</v>
      </c>
      <c r="H25" s="201">
        <f>SUM(CAMPIONATO!$F$7,CAMPIONATO!$E$14,CAMPIONATO!$F$19,CAMPIONATO!$E$27,CAMPIONATO!$F$32,CAMPIONATO!$F$39,CAMPIONATO!$E$46,CAMPIONATO!$P$7,CAMPIONATO!$O$14,CAMPIONATO!$P$19,CAMPIONATO!$O$27,CAMPIONATO!$P$32,CAMPIONATO!$P$39,CAMPIONATO!$O$46,CAMPIONATO!$AD$7)</f>
        <v>0</v>
      </c>
      <c r="I25" s="201">
        <f>SUM(CAMPIONATO!$F$4,CAMPIONATO!$E$11,CAMPIONATO!$F$20,CAMPIONATO!$E$28,CAMPIONATO!$F$33,CAMPIONATO!$E$39,CAMPIONATO!$F$47,CAMPIONATO!$P$4,CAMPIONATO!$O$11,CAMPIONATO!$P$20,CAMPIONATO!$O$28,CAMPIONATO!$P$33,CAMPIONATO!$O$39,CAMPIONATO!$P$47,CAMPIONATO!$AD$4)</f>
        <v>0</v>
      </c>
      <c r="J25" s="201">
        <f>SUM(CAMPIONATO!$E$4,CAMPIONATO!$F$14,CAMPIONATO!$F$21,CAMPIONATO!$E$25,CAMPIONATO!$F$34,CAMPIONATO!$E$40,CAMPIONATO!$F$48,CAMPIONATO!$O$4,CAMPIONATO!$P$14,CAMPIONATO!$P$21,CAMPIONATO!$O$25,CAMPIONATO!$P$34,CAMPIONATO!$O$40,CAMPIONATO!$P$48,CAMPIONATO!$AC$4)</f>
        <v>0</v>
      </c>
      <c r="K25" s="201">
        <f>SUM(CAMPIONATO!$F$6,CAMPIONATO!$F$11,CAMPIONATO!$E$21,CAMPIONATO!$E$26,CAMPIONATO!$F$35,CAMPIONATO!$E$42,CAMPIONATO!$F$46,CAMPIONATO!$P$6,CAMPIONATO!$P$11,CAMPIONATO!$O$21,CAMPIONATO!$O$26,CAMPIONATO!$P$35,CAMPIONATO!$O$42,CAMPIONATO!$P$46,CAMPIONATO!$AD$6)</f>
        <v>0</v>
      </c>
      <c r="L25" s="201"/>
      <c r="M25" s="201"/>
      <c r="N25" s="201"/>
      <c r="O25" s="201"/>
      <c r="P25" s="201"/>
      <c r="Q25" s="201"/>
      <c r="R25" s="201"/>
      <c r="S25" s="201"/>
    </row>
    <row r="26" spans="3:19" ht="16.5" customHeight="1" x14ac:dyDescent="0.25">
      <c r="C26">
        <v>16</v>
      </c>
      <c r="D26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SUM(CAMPIONATO!$E$7,CAMPIONATO!$F$12,CAMPIONATO!$E$20,CAMPIONATO!$F$25,CAMPIONATO!$E$35,CAMPIONATO!$E$41,CAMPIONATO!$F$49,CAMPIONATO!$O$7,CAMPIONATO!$P$12,CAMPIONATO!$O$20,CAMPIONATO!$P$25,CAMPIONATO!$O$35,CAMPIONATO!$O$41,CAMPIONATO!$P$49,CAMPIONATO!$AC$7,CAMPIONATO!$AD$12)</f>
        <v>0</v>
      </c>
      <c r="E26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SUM(CAMPIONATO!$E$6,CAMPIONATO!$F$13,CAMPIONATO!$E$18,CAMPIONATO!$F$27,CAMPIONATO!$E$33,CAMPIONATO!$F$41,CAMPIONATO!$E$48,CAMPIONATO!$O$6,CAMPIONATO!$P$13,CAMPIONATO!$O$18,CAMPIONATO!$P$27,CAMPIONATO!$O$33,CAMPIONATO!$P$41,CAMPIONATO!$O$48,CAMPIONATO!$AC$6,CAMPIONATO!$AD$13)</f>
        <v>0</v>
      </c>
      <c r="F26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SUM(CAMPIONATO!$F$5,CAMPIONATO!$E$13,CAMPIONATO!$E$19,CAMPIONATO!$F$28,CAMPIONATO!$E$34,CAMPIONATO!$F$42,CAMPIONATO!$E$49,CAMPIONATO!$P$5,CAMPIONATO!$O$13,CAMPIONATO!$O$19,CAMPIONATO!$P$28,CAMPIONATO!$O$34,CAMPIONATO!$P$42,CAMPIONATO!$O$49,CAMPIONATO!$AD$5,CAMPIONATO!$AC$13)</f>
        <v>0</v>
      </c>
      <c r="G26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SUM(CAMPIONATO!$E$5,CAMPIONATO!$E$12,CAMPIONATO!$F$18,CAMPIONATO!$F$26,CAMPIONATO!$E$32,CAMPIONATO!$F$40,CAMPIONATO!$E$47,CAMPIONATO!$O$5,CAMPIONATO!$O$12,CAMPIONATO!$P$18,CAMPIONATO!$P$26,CAMPIONATO!$O$32,CAMPIONATO!$P$40,CAMPIONATO!$O$47,CAMPIONATO!$AC$5,CAMPIONATO!$AC$12)</f>
        <v>0</v>
      </c>
      <c r="H26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SUM(CAMPIONATO!$F$7,CAMPIONATO!$E$14,CAMPIONATO!$F$19,CAMPIONATO!$E$27,CAMPIONATO!$F$32,CAMPIONATO!$F$39,CAMPIONATO!$E$46,CAMPIONATO!$P$7,CAMPIONATO!$O$14,CAMPIONATO!$P$19,CAMPIONATO!$O$27,CAMPIONATO!$P$32,CAMPIONATO!$P$39,CAMPIONATO!$O$46,CAMPIONATO!$AD$7,CAMPIONATO!$AC$14)</f>
        <v>0</v>
      </c>
      <c r="I26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SUM(CAMPIONATO!$F$4,CAMPIONATO!$E$11,CAMPIONATO!$F$20,CAMPIONATO!$E$28,CAMPIONATO!$F$33,CAMPIONATO!$E$39,CAMPIONATO!$F$47,CAMPIONATO!$P$4,CAMPIONATO!$O$11,CAMPIONATO!$P$20,CAMPIONATO!$O$28,CAMPIONATO!$P$33,CAMPIONATO!$O$39,CAMPIONATO!$P$47,CAMPIONATO!$AD$4,CAMPIONATO!$AC$11)</f>
        <v>0</v>
      </c>
      <c r="J26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SUM(CAMPIONATO!$E$4,CAMPIONATO!$F$14,CAMPIONATO!$F$21,CAMPIONATO!$E$25,CAMPIONATO!$F$34,CAMPIONATO!$E$40,CAMPIONATO!$F$48,CAMPIONATO!$O$4,CAMPIONATO!$P$14,CAMPIONATO!$P$21,CAMPIONATO!$O$25,CAMPIONATO!$P$34,CAMPIONATO!$O$40,CAMPIONATO!$P$48,CAMPIONATO!$AC$4,CAMPIONATO!$AD$14)</f>
        <v>0</v>
      </c>
      <c r="K26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SUM(CAMPIONATO!$F$6,CAMPIONATO!$F$11,CAMPIONATO!$E$21,CAMPIONATO!$E$26,CAMPIONATO!$F$35,CAMPIONATO!$E$42,CAMPIONATO!$F$46,CAMPIONATO!$P$6,CAMPIONATO!$P$11,CAMPIONATO!$O$21,CAMPIONATO!$O$26,CAMPIONATO!$P$35,CAMPIONATO!$O$42,CAMPIONATO!$P$46,CAMPIONATO!$AD$6,CAMPIONATO!$AD$11)</f>
        <v>0</v>
      </c>
      <c r="L26" s="201"/>
      <c r="M26" s="201"/>
      <c r="N26" s="201"/>
      <c r="O26" s="201"/>
      <c r="P26" s="201"/>
      <c r="Q26" s="201"/>
      <c r="R26" s="201"/>
      <c r="S26" s="201"/>
    </row>
    <row r="27" spans="3:19" ht="16.5" customHeight="1" x14ac:dyDescent="0.25">
      <c r="C27">
        <v>17</v>
      </c>
      <c r="D27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$20)</f>
        <v>0</v>
      </c>
      <c r="E27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$18)</f>
        <v>0</v>
      </c>
      <c r="F27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$19)</f>
        <v>0</v>
      </c>
      <c r="G27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$18)</f>
        <v>0</v>
      </c>
      <c r="H27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$19)</f>
        <v>0</v>
      </c>
      <c r="I27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$20)</f>
        <v>0</v>
      </c>
      <c r="J27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$21)</f>
        <v>0</v>
      </c>
      <c r="K27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$21)</f>
        <v>0</v>
      </c>
      <c r="L27" s="201"/>
      <c r="M27" s="201"/>
      <c r="N27" s="201"/>
      <c r="O27" s="201"/>
      <c r="P27" s="201"/>
      <c r="Q27" s="201"/>
      <c r="R27" s="201"/>
      <c r="S27" s="201"/>
    </row>
    <row r="28" spans="3:19" ht="16.5" customHeight="1" x14ac:dyDescent="0.25">
      <c r="C28">
        <v>18</v>
      </c>
      <c r="D28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$25)</f>
        <v>0</v>
      </c>
      <c r="E28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$27)</f>
        <v>0</v>
      </c>
      <c r="F28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$28)</f>
        <v>0</v>
      </c>
      <c r="G28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$26)</f>
        <v>0</v>
      </c>
      <c r="H28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$27)</f>
        <v>0</v>
      </c>
      <c r="I28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$28)</f>
        <v>0</v>
      </c>
      <c r="J28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$25)</f>
        <v>0</v>
      </c>
      <c r="K28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$26)</f>
        <v>0</v>
      </c>
      <c r="L28" s="201"/>
      <c r="M28" s="201"/>
      <c r="N28" s="201"/>
      <c r="O28" s="201"/>
      <c r="P28" s="201"/>
      <c r="Q28" s="201"/>
      <c r="R28" s="201"/>
      <c r="S28" s="201"/>
    </row>
    <row r="29" spans="3:19" ht="16.5" customHeight="1" x14ac:dyDescent="0.25">
      <c r="C29">
        <v>19</v>
      </c>
      <c r="D29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$35)</f>
        <v>0</v>
      </c>
      <c r="E29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$33)</f>
        <v>0</v>
      </c>
      <c r="F29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$34)</f>
        <v>0</v>
      </c>
      <c r="G29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$32)</f>
        <v>0</v>
      </c>
      <c r="H29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$32)</f>
        <v>0</v>
      </c>
      <c r="I29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$33)</f>
        <v>0</v>
      </c>
      <c r="J29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$34)</f>
        <v>0</v>
      </c>
      <c r="K29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$35)</f>
        <v>0</v>
      </c>
      <c r="L29" s="201"/>
      <c r="M29" s="201"/>
      <c r="N29" s="201"/>
      <c r="O29" s="201"/>
      <c r="P29" s="201"/>
      <c r="Q29" s="201"/>
      <c r="R29" s="201"/>
      <c r="S29" s="201"/>
    </row>
    <row r="30" spans="3:19" ht="16.5" customHeight="1" x14ac:dyDescent="0.25">
      <c r="C30">
        <v>20</v>
      </c>
      <c r="D30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$41)</f>
        <v>0</v>
      </c>
      <c r="E30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$41)</f>
        <v>0</v>
      </c>
      <c r="F30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$42)</f>
        <v>0</v>
      </c>
      <c r="G30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$40)</f>
        <v>0</v>
      </c>
      <c r="H30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$39)</f>
        <v>0</v>
      </c>
      <c r="I30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$39)</f>
        <v>0</v>
      </c>
      <c r="J30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$40)</f>
        <v>0</v>
      </c>
      <c r="K30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$42)</f>
        <v>0</v>
      </c>
      <c r="L30" s="201"/>
      <c r="M30" s="201"/>
      <c r="N30" s="201"/>
      <c r="O30" s="201"/>
      <c r="P30" s="201"/>
      <c r="Q30" s="201"/>
      <c r="R30" s="201"/>
      <c r="S30" s="201"/>
    </row>
    <row r="31" spans="3:19" ht="16.5" customHeight="1" x14ac:dyDescent="0.25">
      <c r="C31">
        <v>21</v>
      </c>
      <c r="D31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$49)</f>
        <v>0</v>
      </c>
      <c r="E31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$48)</f>
        <v>0</v>
      </c>
      <c r="F31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$49)</f>
        <v>0</v>
      </c>
      <c r="G31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$47)</f>
        <v>0</v>
      </c>
      <c r="H31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$46)</f>
        <v>0</v>
      </c>
      <c r="I31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$47)</f>
        <v>0</v>
      </c>
      <c r="J31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$48)</f>
        <v>0</v>
      </c>
      <c r="K31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$46)</f>
        <v>0</v>
      </c>
      <c r="L31" s="201"/>
      <c r="M31" s="201"/>
      <c r="N31" s="201"/>
      <c r="O31" s="201"/>
      <c r="P31" s="201"/>
      <c r="Q31" s="201"/>
      <c r="R31" s="201"/>
      <c r="S31" s="201"/>
    </row>
    <row r="32" spans="3:19" ht="16.5" customHeight="1" x14ac:dyDescent="0.25">
      <c r="C32">
        <v>22</v>
      </c>
      <c r="D32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$7)</f>
        <v>0</v>
      </c>
      <c r="E32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$6)</f>
        <v>0</v>
      </c>
      <c r="F32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$5)</f>
        <v>0</v>
      </c>
      <c r="G32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$5)</f>
        <v>0</v>
      </c>
      <c r="H32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$7)</f>
        <v>0</v>
      </c>
      <c r="I32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$4)</f>
        <v>0</v>
      </c>
      <c r="J32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$4)</f>
        <v>0</v>
      </c>
      <c r="K32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$6)</f>
        <v>0</v>
      </c>
      <c r="L32" s="201"/>
      <c r="M32" s="201"/>
      <c r="N32" s="201"/>
      <c r="O32" s="201"/>
      <c r="P32" s="201"/>
      <c r="Q32" s="201"/>
      <c r="R32" s="201"/>
      <c r="S32" s="201"/>
    </row>
    <row r="33" spans="3:19" ht="16.5" customHeight="1" x14ac:dyDescent="0.25">
      <c r="C33">
        <v>23</v>
      </c>
      <c r="D33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$12)</f>
        <v>0</v>
      </c>
      <c r="E33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$13)</f>
        <v>0</v>
      </c>
      <c r="F33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$13)</f>
        <v>0</v>
      </c>
      <c r="G33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$12)</f>
        <v>0</v>
      </c>
      <c r="H33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$14)</f>
        <v>0</v>
      </c>
      <c r="I33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$11)</f>
        <v>0</v>
      </c>
      <c r="J33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$14)</f>
        <v>0</v>
      </c>
      <c r="K33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$11)</f>
        <v>0</v>
      </c>
      <c r="L33" s="201"/>
      <c r="M33" s="201"/>
      <c r="N33" s="201"/>
      <c r="O33" s="201"/>
      <c r="P33" s="201"/>
      <c r="Q33" s="201"/>
      <c r="R33" s="201"/>
      <c r="S33" s="201"/>
    </row>
    <row r="34" spans="3:19" ht="16.5" customHeight="1" x14ac:dyDescent="0.25">
      <c r="C34">
        <v>24</v>
      </c>
      <c r="D34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$20)</f>
        <v>0</v>
      </c>
      <c r="E34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$18)</f>
        <v>0</v>
      </c>
      <c r="F34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$19)</f>
        <v>0</v>
      </c>
      <c r="G34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$18)</f>
        <v>0</v>
      </c>
      <c r="H34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$19)</f>
        <v>0</v>
      </c>
      <c r="I34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$20)</f>
        <v>0</v>
      </c>
      <c r="J34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$21)</f>
        <v>0</v>
      </c>
      <c r="K34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$21)</f>
        <v>0</v>
      </c>
      <c r="L34" s="201"/>
      <c r="M34" s="201"/>
      <c r="N34" s="201"/>
      <c r="O34" s="201"/>
      <c r="P34" s="201"/>
      <c r="Q34" s="201"/>
      <c r="R34" s="201"/>
      <c r="S34" s="201"/>
    </row>
    <row r="35" spans="3:19" ht="16.5" customHeight="1" x14ac:dyDescent="0.25">
      <c r="C35">
        <v>25</v>
      </c>
      <c r="D35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$25)</f>
        <v>0</v>
      </c>
      <c r="E35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$27)</f>
        <v>0</v>
      </c>
      <c r="F35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$28)</f>
        <v>0</v>
      </c>
      <c r="G35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$26)</f>
        <v>0</v>
      </c>
      <c r="H35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$27)</f>
        <v>0</v>
      </c>
      <c r="I35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$28)</f>
        <v>0</v>
      </c>
      <c r="J35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$25)</f>
        <v>0</v>
      </c>
      <c r="K35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$26)</f>
        <v>0</v>
      </c>
      <c r="L35" s="201"/>
      <c r="M35" s="201"/>
      <c r="N35" s="201"/>
      <c r="O35" s="201"/>
      <c r="P35" s="201"/>
      <c r="Q35" s="201"/>
      <c r="R35" s="201"/>
      <c r="S35" s="201"/>
    </row>
    <row r="36" spans="3:19" ht="16.5" customHeight="1" x14ac:dyDescent="0.25">
      <c r="C36">
        <v>26</v>
      </c>
      <c r="D36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$35)</f>
        <v>0</v>
      </c>
      <c r="E36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$33)</f>
        <v>0</v>
      </c>
      <c r="F36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$34)</f>
        <v>0</v>
      </c>
      <c r="G36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$32)</f>
        <v>0</v>
      </c>
      <c r="H36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$32)</f>
        <v>0</v>
      </c>
      <c r="I36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$33)</f>
        <v>0</v>
      </c>
      <c r="J36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$34)</f>
        <v>0</v>
      </c>
      <c r="K36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$35)</f>
        <v>0</v>
      </c>
      <c r="L36" s="201"/>
      <c r="M36" s="201"/>
      <c r="N36" s="201"/>
      <c r="O36" s="201"/>
      <c r="P36" s="201"/>
      <c r="Q36" s="201"/>
      <c r="R36" s="201"/>
      <c r="S36" s="201"/>
    </row>
    <row r="37" spans="3:19" ht="16.5" customHeight="1" x14ac:dyDescent="0.25">
      <c r="C37">
        <v>27</v>
      </c>
      <c r="D37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,CAMPIONATO!$AM$41)</f>
        <v>0</v>
      </c>
      <c r="E37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,CAMPIONATO!$AN$41)</f>
        <v>0</v>
      </c>
      <c r="F37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,CAMPIONATO!$AN$42)</f>
        <v>0</v>
      </c>
      <c r="G37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,CAMPIONATO!$AN$40)</f>
        <v>0</v>
      </c>
      <c r="H37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,CAMPIONATO!$AN$39)</f>
        <v>0</v>
      </c>
      <c r="I37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,CAMPIONATO!$AM$39)</f>
        <v>0</v>
      </c>
      <c r="J37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,CAMPIONATO!$AM$40)</f>
        <v>0</v>
      </c>
      <c r="K37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,CAMPIONATO!$AM$42)</f>
        <v>0</v>
      </c>
      <c r="L37" s="201"/>
      <c r="M37" s="201"/>
      <c r="N37" s="201"/>
      <c r="O37" s="201"/>
      <c r="P37" s="201"/>
      <c r="Q37" s="201"/>
      <c r="R37" s="201"/>
      <c r="S37" s="201"/>
    </row>
    <row r="38" spans="3:19" ht="16.5" customHeight="1" x14ac:dyDescent="0.25">
      <c r="C38">
        <v>28</v>
      </c>
      <c r="D38" s="201">
        <f>SUM(CAMPIONATO!$E$7,CAMPIONATO!$F$12,CAMPIONATO!$E$20,CAMPIONATO!$F$25,CAMPIONATO!$E$35,CAMPIONATO!$E$41,CAMPIONATO!$F$49,CAMPIONATO!$O$7,CAMPIONATO!$P$12,CAMPIONATO!$O$20,CAMPIONATO!$P$25,CAMPIONATO!$O$35,CAMPIONATO!$O$41,CAMPIONATO!$P$49,CAMPIONATO!$AC$7,CAMPIONATO!$AD$12,CAMPIONATO!$AC$20,CAMPIONATO!$AD$25,CAMPIONATO!$AC$35,CAMPIONATO!$AC$41,CAMPIONATO!$AD$49,CAMPIONATO!$AM$7,CAMPIONATO!$AN$12,CAMPIONATO!$AM$20,CAMPIONATO!$AN$25,CAMPIONATO!$AM$35,CAMPIONATO!$AM$41,CAMPIONATO!$AN$49)</f>
        <v>0</v>
      </c>
      <c r="E38" s="201">
        <f>SUM(CAMPIONATO!$E$6,CAMPIONATO!$F$13,CAMPIONATO!$E$18,CAMPIONATO!$F$27,CAMPIONATO!$E$33,CAMPIONATO!$F$41,CAMPIONATO!$E$48,CAMPIONATO!$O$6,CAMPIONATO!$P$13,CAMPIONATO!$O$18,CAMPIONATO!$P$27,CAMPIONATO!$O$33,CAMPIONATO!$P$41,CAMPIONATO!$O$48,CAMPIONATO!$AC$6,CAMPIONATO!$AD$13,CAMPIONATO!$AC$18,CAMPIONATO!$AD$27,CAMPIONATO!$AC$33,CAMPIONATO!$AD$41,CAMPIONATO!$AC$48,CAMPIONATO!$AM$6,CAMPIONATO!$AN$13,CAMPIONATO!$AM$18,CAMPIONATO!$AN$27,CAMPIONATO!$AM$33,CAMPIONATO!$AN$41,CAMPIONATO!$AM$48)</f>
        <v>0</v>
      </c>
      <c r="F38" s="201">
        <f>SUM(CAMPIONATO!$F$5,CAMPIONATO!$E$13,CAMPIONATO!$E$19,CAMPIONATO!$F$28,CAMPIONATO!$E$34,CAMPIONATO!$F$42,CAMPIONATO!$E$49,CAMPIONATO!$P$5,CAMPIONATO!$O$13,CAMPIONATO!$O$19,CAMPIONATO!$P$28,CAMPIONATO!$O$34,CAMPIONATO!$P$42,CAMPIONATO!$O$49,CAMPIONATO!$AD$5,CAMPIONATO!$AC$13,CAMPIONATO!$AC$19,CAMPIONATO!$AD$28,CAMPIONATO!$AC$34,CAMPIONATO!$AD$42,CAMPIONATO!$AC$49,CAMPIONATO!$AN$5,CAMPIONATO!$AM$13,CAMPIONATO!$AM$19,CAMPIONATO!$AN$28,CAMPIONATO!$AM$34,CAMPIONATO!$AN$42,CAMPIONATO!$AM$49)</f>
        <v>0</v>
      </c>
      <c r="G38" s="201">
        <f>SUM(CAMPIONATO!$E$5,CAMPIONATO!$E$12,CAMPIONATO!$F$18,CAMPIONATO!$F$26,CAMPIONATO!$E$32,CAMPIONATO!$F$40,CAMPIONATO!$E$47,CAMPIONATO!$O$5,CAMPIONATO!$O$12,CAMPIONATO!$P$18,CAMPIONATO!$P$26,CAMPIONATO!$O$32,CAMPIONATO!$P$40,CAMPIONATO!$O$47,CAMPIONATO!$AC$5,CAMPIONATO!$AC$12,CAMPIONATO!$AD$18,CAMPIONATO!$AD$26,CAMPIONATO!$AC$32,CAMPIONATO!$AD$40,CAMPIONATO!$AC$47,CAMPIONATO!$AM$5,CAMPIONATO!$AM$12,CAMPIONATO!$AN$18,CAMPIONATO!$AN$26,CAMPIONATO!$AM$32,CAMPIONATO!$AN$40,CAMPIONATO!$AM$47)</f>
        <v>0</v>
      </c>
      <c r="H38" s="201">
        <f>SUM(CAMPIONATO!$F$7,CAMPIONATO!$E$14,CAMPIONATO!$F$19,CAMPIONATO!$E$27,CAMPIONATO!$F$32,CAMPIONATO!$F$39,CAMPIONATO!$E$46,CAMPIONATO!$P$7,CAMPIONATO!$O$14,CAMPIONATO!$P$19,CAMPIONATO!$O$27,CAMPIONATO!$P$32,CAMPIONATO!$P$39,CAMPIONATO!$O$46,CAMPIONATO!$AD$7,CAMPIONATO!$AC$14,CAMPIONATO!$AD$19,CAMPIONATO!$AC$27,CAMPIONATO!$AD$32,CAMPIONATO!$AD$39,CAMPIONATO!$AC$46,CAMPIONATO!$AN$7,CAMPIONATO!$AM$14,CAMPIONATO!$AN$19,CAMPIONATO!$AM$27,CAMPIONATO!$AN$32,CAMPIONATO!$AN$39,CAMPIONATO!$AM$46)</f>
        <v>0</v>
      </c>
      <c r="I38" s="201">
        <f>SUM(CAMPIONATO!$F$4,CAMPIONATO!$E$11,CAMPIONATO!$F$20,CAMPIONATO!$E$28,CAMPIONATO!$F$33,CAMPIONATO!$E$39,CAMPIONATO!$F$47,CAMPIONATO!$P$4,CAMPIONATO!$O$11,CAMPIONATO!$P$20,CAMPIONATO!$O$28,CAMPIONATO!$P$33,CAMPIONATO!$O$39,CAMPIONATO!$P$47,CAMPIONATO!$AD$4,CAMPIONATO!$AC$11,CAMPIONATO!$AD$20,CAMPIONATO!$AC$28,CAMPIONATO!$AD$33,CAMPIONATO!$AC$39,CAMPIONATO!$AD$47,CAMPIONATO!$AN$4,CAMPIONATO!$AM$11,CAMPIONATO!$AN$20,CAMPIONATO!$AM$28,CAMPIONATO!$AN$33,CAMPIONATO!$AM$39,CAMPIONATO!$AN$47)</f>
        <v>0</v>
      </c>
      <c r="J38" s="201">
        <f>SUM(CAMPIONATO!$E$4,CAMPIONATO!$F$14,CAMPIONATO!$F$21,CAMPIONATO!$E$25,CAMPIONATO!$F$34,CAMPIONATO!$E$40,CAMPIONATO!$F$48,CAMPIONATO!$O$4,CAMPIONATO!$P$14,CAMPIONATO!$P$21,CAMPIONATO!$O$25,CAMPIONATO!$P$34,CAMPIONATO!$O$40,CAMPIONATO!$P$48,CAMPIONATO!$AC$4,CAMPIONATO!$AD$14,CAMPIONATO!$AD$21,CAMPIONATO!$AC$25,CAMPIONATO!$AD$34,CAMPIONATO!$AC$40,CAMPIONATO!$AD$48,CAMPIONATO!$AM$4,CAMPIONATO!$AN$14,CAMPIONATO!$AN$21,CAMPIONATO!$AM$25,CAMPIONATO!$AN$34,CAMPIONATO!$AM$40,CAMPIONATO!$AN$48)</f>
        <v>0</v>
      </c>
      <c r="K38" s="201">
        <f>SUM(CAMPIONATO!$F$6,CAMPIONATO!$F$11,CAMPIONATO!$E$21,CAMPIONATO!$E$26,CAMPIONATO!$F$35,CAMPIONATO!$E$42,CAMPIONATO!$F$46,CAMPIONATO!$P$6,CAMPIONATO!$P$11,CAMPIONATO!$O$21,CAMPIONATO!$O$26,CAMPIONATO!$P$35,CAMPIONATO!$O$42,CAMPIONATO!$P$46,CAMPIONATO!$AD$6,CAMPIONATO!$AD$11,CAMPIONATO!$AC$21,CAMPIONATO!$AC$26,CAMPIONATO!$AD$35,CAMPIONATO!$AC$42,CAMPIONATO!$AD$46,CAMPIONATO!$AN$6,CAMPIONATO!$AN$11,CAMPIONATO!$AM$21,CAMPIONATO!$AM$26,CAMPIONATO!$AN$35,CAMPIONATO!$AM$42,CAMPIONATO!$AN$46)</f>
        <v>0</v>
      </c>
      <c r="L38" s="201"/>
      <c r="M38" s="201"/>
      <c r="N38" s="201"/>
      <c r="O38" s="201"/>
      <c r="P38" s="201"/>
      <c r="Q38" s="201"/>
      <c r="R38" s="201"/>
      <c r="S38" s="201"/>
    </row>
  </sheetData>
  <sheetProtection sheet="1" objects="1" scenarios="1"/>
  <protectedRanges>
    <protectedRange sqref="C1:AH1" name="Intervallo1"/>
  </protectedRanges>
  <pageMargins left="0.75" right="0.75" top="1" bottom="1" header="0.5" footer="0.5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F19E-40FD-40B4-BE15-71A51C9C3291}">
  <sheetPr codeName="Foglio4">
    <tabColor indexed="46"/>
    <pageSetUpPr fitToPage="1"/>
  </sheetPr>
  <dimension ref="A1:AC37"/>
  <sheetViews>
    <sheetView tabSelected="1" zoomScale="85" zoomScaleNormal="85" workbookViewId="0">
      <selection activeCell="N29" sqref="N29"/>
    </sheetView>
  </sheetViews>
  <sheetFormatPr defaultRowHeight="22.5" customHeight="1" x14ac:dyDescent="0.25"/>
  <cols>
    <col min="1" max="1" width="12.453125" bestFit="1" customWidth="1"/>
    <col min="2" max="2" width="25.36328125" customWidth="1"/>
    <col min="3" max="3" width="6" bestFit="1" customWidth="1"/>
    <col min="4" max="4" width="7.36328125" customWidth="1"/>
    <col min="5" max="5" width="23.08984375" customWidth="1"/>
    <col min="6" max="6" width="6" bestFit="1" customWidth="1"/>
    <col min="7" max="7" width="7.36328125" customWidth="1"/>
    <col min="8" max="8" width="23.08984375" customWidth="1"/>
    <col min="9" max="9" width="6" bestFit="1" customWidth="1"/>
    <col min="10" max="10" width="7.36328125" customWidth="1"/>
    <col min="11" max="11" width="23.08984375" customWidth="1"/>
    <col min="12" max="12" width="6" bestFit="1" customWidth="1"/>
    <col min="13" max="13" width="7.36328125" customWidth="1"/>
    <col min="14" max="14" width="23.08984375" customWidth="1"/>
    <col min="15" max="15" width="6" bestFit="1" customWidth="1"/>
    <col min="16" max="16" width="7.36328125" customWidth="1"/>
    <col min="17" max="17" width="23.08984375" customWidth="1"/>
    <col min="18" max="18" width="6" bestFit="1" customWidth="1"/>
    <col min="19" max="19" width="7.36328125" customWidth="1"/>
    <col min="20" max="20" width="23.08984375" customWidth="1"/>
    <col min="21" max="21" width="6.6328125" customWidth="1"/>
    <col min="22" max="22" width="7.36328125" bestFit="1" customWidth="1"/>
    <col min="23" max="23" width="23.08984375" customWidth="1"/>
    <col min="24" max="24" width="6" bestFit="1" customWidth="1"/>
    <col min="25" max="25" width="7.36328125" customWidth="1"/>
  </cols>
  <sheetData>
    <row r="1" spans="1:28" ht="30" customHeight="1" x14ac:dyDescent="0.6">
      <c r="B1" s="208" t="s">
        <v>32</v>
      </c>
      <c r="C1" s="208"/>
      <c r="D1" s="208"/>
      <c r="E1" s="208"/>
      <c r="F1" s="208"/>
      <c r="G1" s="11"/>
      <c r="H1" s="11"/>
      <c r="I1" s="11"/>
      <c r="J1" s="11"/>
      <c r="K1" s="11"/>
      <c r="L1" s="11"/>
    </row>
    <row r="2" spans="1:28" ht="22.5" customHeight="1" x14ac:dyDescent="0.25"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  <c r="Y2" s="249"/>
    </row>
    <row r="3" spans="1:28" s="143" customFormat="1" ht="22.5" customHeight="1" x14ac:dyDescent="0.25">
      <c r="A3" s="210" t="s">
        <v>33</v>
      </c>
      <c r="B3" s="211">
        <v>106</v>
      </c>
      <c r="C3" s="315"/>
      <c r="D3" s="250"/>
      <c r="E3" s="251">
        <v>105</v>
      </c>
      <c r="F3" s="315"/>
      <c r="G3" s="250"/>
      <c r="H3" s="251">
        <v>143</v>
      </c>
      <c r="I3" s="315"/>
      <c r="J3" s="250"/>
      <c r="K3" s="211">
        <v>48</v>
      </c>
      <c r="L3" s="315"/>
      <c r="M3" s="250"/>
      <c r="N3" s="211">
        <v>17</v>
      </c>
      <c r="O3" s="315"/>
      <c r="P3" s="265"/>
      <c r="Q3" s="251">
        <v>80</v>
      </c>
      <c r="R3" s="315"/>
      <c r="S3" s="265"/>
      <c r="T3" s="211">
        <v>47</v>
      </c>
      <c r="U3" s="315"/>
      <c r="V3" s="265"/>
      <c r="W3" s="251">
        <v>29</v>
      </c>
      <c r="X3" s="315"/>
      <c r="Y3" s="265" t="s">
        <v>34</v>
      </c>
      <c r="Z3" s="246"/>
      <c r="AA3" s="115"/>
      <c r="AB3" s="115"/>
    </row>
    <row r="4" spans="1:28" s="143" customFormat="1" ht="22.5" customHeight="1" x14ac:dyDescent="0.25">
      <c r="A4" s="115"/>
      <c r="B4" s="424" t="s">
        <v>35</v>
      </c>
      <c r="C4" s="425"/>
      <c r="D4" s="426"/>
      <c r="E4" s="424" t="s">
        <v>36</v>
      </c>
      <c r="F4" s="425"/>
      <c r="G4" s="426"/>
      <c r="H4" s="424" t="s">
        <v>37</v>
      </c>
      <c r="I4" s="425"/>
      <c r="J4" s="426"/>
      <c r="K4" s="424" t="s">
        <v>38</v>
      </c>
      <c r="L4" s="425"/>
      <c r="M4" s="426"/>
      <c r="N4" s="424" t="s">
        <v>39</v>
      </c>
      <c r="O4" s="425"/>
      <c r="P4" s="426"/>
      <c r="Q4" s="424" t="s">
        <v>40</v>
      </c>
      <c r="R4" s="425"/>
      <c r="S4" s="426"/>
      <c r="T4" s="424" t="s">
        <v>41</v>
      </c>
      <c r="U4" s="425"/>
      <c r="V4" s="426"/>
      <c r="W4" s="424" t="s">
        <v>42</v>
      </c>
      <c r="X4" s="425"/>
      <c r="Y4" s="426"/>
      <c r="AA4" s="115"/>
      <c r="AB4" s="115"/>
    </row>
    <row r="5" spans="1:28" s="143" customFormat="1" ht="22.5" customHeight="1" x14ac:dyDescent="0.25">
      <c r="A5" s="252"/>
      <c r="B5" s="427"/>
      <c r="C5" s="428"/>
      <c r="D5" s="429"/>
      <c r="E5" s="427"/>
      <c r="F5" s="428"/>
      <c r="G5" s="429"/>
      <c r="H5" s="427"/>
      <c r="I5" s="428"/>
      <c r="J5" s="429"/>
      <c r="K5" s="427"/>
      <c r="L5" s="428"/>
      <c r="M5" s="429"/>
      <c r="N5" s="427"/>
      <c r="O5" s="428"/>
      <c r="P5" s="429"/>
      <c r="Q5" s="427"/>
      <c r="R5" s="428"/>
      <c r="S5" s="429"/>
      <c r="T5" s="427"/>
      <c r="U5" s="428"/>
      <c r="V5" s="429"/>
      <c r="W5" s="427"/>
      <c r="X5" s="428"/>
      <c r="Y5" s="429"/>
      <c r="AA5" s="115"/>
      <c r="AB5" s="115"/>
    </row>
    <row r="6" spans="1:28" s="143" customFormat="1" ht="22.5" customHeight="1" thickTop="1" thickBot="1" x14ac:dyDescent="0.3">
      <c r="A6" s="210" t="s">
        <v>43</v>
      </c>
      <c r="B6" s="214">
        <f>$A$37+B3</f>
        <v>406</v>
      </c>
      <c r="C6" s="319" t="s">
        <v>247</v>
      </c>
      <c r="D6" s="215" t="s">
        <v>34</v>
      </c>
      <c r="E6" s="214">
        <f>$A$37+E3</f>
        <v>405</v>
      </c>
      <c r="F6" s="319" t="s">
        <v>247</v>
      </c>
      <c r="G6" s="215" t="s">
        <v>34</v>
      </c>
      <c r="H6" s="214">
        <f>$A$37+H3</f>
        <v>443</v>
      </c>
      <c r="I6" s="319" t="s">
        <v>247</v>
      </c>
      <c r="J6" s="215" t="s">
        <v>34</v>
      </c>
      <c r="K6" s="214">
        <f>$A$37+K3</f>
        <v>348</v>
      </c>
      <c r="L6" s="319" t="s">
        <v>247</v>
      </c>
      <c r="M6" s="215" t="s">
        <v>34</v>
      </c>
      <c r="N6" s="214">
        <f>$A$37+N3</f>
        <v>317</v>
      </c>
      <c r="O6" s="319" t="s">
        <v>247</v>
      </c>
      <c r="P6" s="215" t="s">
        <v>34</v>
      </c>
      <c r="Q6" s="214">
        <f>$A$37+Q3</f>
        <v>380</v>
      </c>
      <c r="R6" s="319" t="s">
        <v>247</v>
      </c>
      <c r="S6" s="215" t="s">
        <v>34</v>
      </c>
      <c r="T6" s="214">
        <f>$A$37+T3</f>
        <v>347</v>
      </c>
      <c r="U6" s="319" t="s">
        <v>247</v>
      </c>
      <c r="V6" s="215" t="s">
        <v>34</v>
      </c>
      <c r="W6" s="214">
        <f>$A$37+W3</f>
        <v>329</v>
      </c>
      <c r="X6" s="319" t="s">
        <v>247</v>
      </c>
      <c r="Y6" s="215" t="s">
        <v>34</v>
      </c>
      <c r="Z6" s="246"/>
      <c r="AA6" s="115"/>
      <c r="AB6" s="115"/>
    </row>
    <row r="7" spans="1:28" s="143" customFormat="1" ht="22.5" customHeight="1" thickBot="1" x14ac:dyDescent="0.3">
      <c r="A7" s="216"/>
      <c r="B7" s="347"/>
      <c r="C7" s="348"/>
      <c r="D7" s="349" t="s">
        <v>44</v>
      </c>
      <c r="E7" s="350"/>
      <c r="F7" s="351"/>
      <c r="G7" s="349" t="s">
        <v>44</v>
      </c>
      <c r="H7" s="350"/>
      <c r="I7" s="351"/>
      <c r="J7" s="349" t="s">
        <v>44</v>
      </c>
      <c r="K7" s="350"/>
      <c r="L7" s="351"/>
      <c r="M7" s="349" t="s">
        <v>44</v>
      </c>
      <c r="N7" s="350"/>
      <c r="O7" s="351"/>
      <c r="P7" s="349" t="s">
        <v>44</v>
      </c>
      <c r="Q7" s="350"/>
      <c r="R7" s="351"/>
      <c r="S7" s="349" t="s">
        <v>44</v>
      </c>
      <c r="T7" s="350"/>
      <c r="U7" s="351"/>
      <c r="V7" s="349" t="s">
        <v>44</v>
      </c>
      <c r="W7" s="350"/>
      <c r="X7" s="351"/>
      <c r="Y7" s="349" t="s">
        <v>44</v>
      </c>
      <c r="AA7" s="115"/>
      <c r="AB7" s="115"/>
    </row>
    <row r="8" spans="1:28" s="143" customFormat="1" ht="22.5" customHeight="1" thickTop="1" thickBot="1" x14ac:dyDescent="0.5">
      <c r="A8" s="345" t="s">
        <v>45</v>
      </c>
      <c r="B8" s="403" t="s">
        <v>315</v>
      </c>
      <c r="C8" s="404"/>
      <c r="D8" s="405">
        <v>35</v>
      </c>
      <c r="E8" s="403" t="s">
        <v>372</v>
      </c>
      <c r="F8" s="404"/>
      <c r="G8" s="405">
        <v>19</v>
      </c>
      <c r="H8" s="403" t="s">
        <v>340</v>
      </c>
      <c r="I8" s="404"/>
      <c r="J8" s="405">
        <v>2</v>
      </c>
      <c r="K8" s="403" t="s">
        <v>323</v>
      </c>
      <c r="L8" s="404"/>
      <c r="M8" s="405">
        <v>35</v>
      </c>
      <c r="N8" s="403" t="s">
        <v>313</v>
      </c>
      <c r="O8" s="404"/>
      <c r="P8" s="405">
        <v>30</v>
      </c>
      <c r="Q8" s="403" t="s">
        <v>307</v>
      </c>
      <c r="R8" s="404"/>
      <c r="S8" s="405">
        <v>36</v>
      </c>
      <c r="T8" s="403" t="s">
        <v>304</v>
      </c>
      <c r="U8" s="404"/>
      <c r="V8" s="405">
        <v>1</v>
      </c>
      <c r="W8" s="403" t="s">
        <v>328</v>
      </c>
      <c r="X8" s="404"/>
      <c r="Y8" s="405">
        <v>22</v>
      </c>
      <c r="AA8" s="115"/>
      <c r="AB8" s="115"/>
    </row>
    <row r="9" spans="1:28" s="143" customFormat="1" ht="22.5" customHeight="1" x14ac:dyDescent="0.45">
      <c r="A9" s="253"/>
      <c r="B9" s="406" t="s">
        <v>438</v>
      </c>
      <c r="C9" s="407"/>
      <c r="D9" s="408">
        <v>1</v>
      </c>
      <c r="E9" s="406" t="s">
        <v>373</v>
      </c>
      <c r="F9" s="407"/>
      <c r="G9" s="408">
        <v>1</v>
      </c>
      <c r="H9" s="406" t="s">
        <v>380</v>
      </c>
      <c r="I9" s="407"/>
      <c r="J9" s="408">
        <v>29</v>
      </c>
      <c r="K9" s="406" t="s">
        <v>332</v>
      </c>
      <c r="L9" s="407"/>
      <c r="M9" s="408">
        <v>1</v>
      </c>
      <c r="N9" s="406" t="s">
        <v>337</v>
      </c>
      <c r="O9" s="407"/>
      <c r="P9" s="408">
        <v>1</v>
      </c>
      <c r="Q9" s="406" t="s">
        <v>382</v>
      </c>
      <c r="R9" s="407"/>
      <c r="S9" s="408">
        <v>1</v>
      </c>
      <c r="T9" s="406" t="s">
        <v>379</v>
      </c>
      <c r="U9" s="407"/>
      <c r="V9" s="408">
        <v>20</v>
      </c>
      <c r="W9" s="406" t="s">
        <v>338</v>
      </c>
      <c r="X9" s="407"/>
      <c r="Y9" s="408">
        <v>1</v>
      </c>
      <c r="AA9" s="115"/>
      <c r="AB9" s="115"/>
    </row>
    <row r="10" spans="1:28" s="143" customFormat="1" ht="22.5" customHeight="1" thickBot="1" x14ac:dyDescent="0.5">
      <c r="A10" s="254"/>
      <c r="B10" s="409" t="s">
        <v>451</v>
      </c>
      <c r="C10" s="410"/>
      <c r="D10" s="411">
        <v>1</v>
      </c>
      <c r="E10" s="409" t="s">
        <v>397</v>
      </c>
      <c r="F10" s="410"/>
      <c r="G10" s="411">
        <v>1</v>
      </c>
      <c r="H10" s="409" t="s">
        <v>387</v>
      </c>
      <c r="I10" s="410"/>
      <c r="J10" s="411">
        <v>3</v>
      </c>
      <c r="K10" s="409" t="s">
        <v>388</v>
      </c>
      <c r="L10" s="410"/>
      <c r="M10" s="411">
        <v>1</v>
      </c>
      <c r="N10" s="409" t="s">
        <v>447</v>
      </c>
      <c r="O10" s="410"/>
      <c r="P10" s="411">
        <v>1</v>
      </c>
      <c r="Q10" s="409" t="s">
        <v>405</v>
      </c>
      <c r="R10" s="410"/>
      <c r="S10" s="411">
        <v>1</v>
      </c>
      <c r="T10" s="409" t="s">
        <v>384</v>
      </c>
      <c r="U10" s="410"/>
      <c r="V10" s="411">
        <v>1</v>
      </c>
      <c r="W10" s="409" t="s">
        <v>445</v>
      </c>
      <c r="X10" s="410"/>
      <c r="Y10" s="411">
        <v>2</v>
      </c>
      <c r="AA10" s="115"/>
      <c r="AB10" s="115"/>
    </row>
    <row r="11" spans="1:28" s="143" customFormat="1" ht="22.5" customHeight="1" thickTop="1" thickBot="1" x14ac:dyDescent="0.5">
      <c r="A11" s="345" t="s">
        <v>46</v>
      </c>
      <c r="B11" s="412" t="s">
        <v>285</v>
      </c>
      <c r="C11" s="413"/>
      <c r="D11" s="414">
        <v>2</v>
      </c>
      <c r="E11" s="415" t="s">
        <v>297</v>
      </c>
      <c r="F11" s="413"/>
      <c r="G11" s="414">
        <v>5</v>
      </c>
      <c r="H11" s="415" t="s">
        <v>278</v>
      </c>
      <c r="I11" s="413"/>
      <c r="J11" s="414">
        <v>3</v>
      </c>
      <c r="K11" s="415" t="s">
        <v>271</v>
      </c>
      <c r="L11" s="413" t="s">
        <v>272</v>
      </c>
      <c r="M11" s="414">
        <v>1</v>
      </c>
      <c r="N11" s="415" t="s">
        <v>269</v>
      </c>
      <c r="O11" s="413"/>
      <c r="P11" s="414">
        <v>1</v>
      </c>
      <c r="Q11" s="415" t="s">
        <v>282</v>
      </c>
      <c r="R11" s="413"/>
      <c r="S11" s="414">
        <v>26</v>
      </c>
      <c r="T11" s="412" t="s">
        <v>267</v>
      </c>
      <c r="U11" s="416" t="s">
        <v>268</v>
      </c>
      <c r="V11" s="417">
        <v>1</v>
      </c>
      <c r="W11" s="415" t="s">
        <v>324</v>
      </c>
      <c r="X11" s="413"/>
      <c r="Y11" s="414">
        <v>1</v>
      </c>
      <c r="AA11" s="115"/>
      <c r="AB11" s="115"/>
    </row>
    <row r="12" spans="1:28" s="143" customFormat="1" ht="22.5" customHeight="1" x14ac:dyDescent="0.45">
      <c r="A12" s="255"/>
      <c r="B12" s="412" t="s">
        <v>286</v>
      </c>
      <c r="C12" s="416"/>
      <c r="D12" s="417">
        <v>2</v>
      </c>
      <c r="E12" s="412" t="s">
        <v>472</v>
      </c>
      <c r="F12" s="416"/>
      <c r="G12" s="417">
        <v>8</v>
      </c>
      <c r="H12" s="412" t="s">
        <v>279</v>
      </c>
      <c r="I12" s="416"/>
      <c r="J12" s="417">
        <v>4</v>
      </c>
      <c r="K12" s="406" t="s">
        <v>257</v>
      </c>
      <c r="L12" s="407"/>
      <c r="M12" s="408">
        <v>10</v>
      </c>
      <c r="N12" s="406" t="s">
        <v>345</v>
      </c>
      <c r="O12" s="407"/>
      <c r="P12" s="408">
        <v>3</v>
      </c>
      <c r="Q12" s="406" t="s">
        <v>358</v>
      </c>
      <c r="R12" s="407"/>
      <c r="S12" s="408">
        <v>1</v>
      </c>
      <c r="T12" s="406" t="s">
        <v>319</v>
      </c>
      <c r="U12" s="416"/>
      <c r="V12" s="408">
        <v>1</v>
      </c>
      <c r="W12" s="412" t="s">
        <v>290</v>
      </c>
      <c r="X12" s="416"/>
      <c r="Y12" s="417">
        <v>1</v>
      </c>
      <c r="AA12" s="115"/>
      <c r="AB12" s="115"/>
    </row>
    <row r="13" spans="1:28" s="143" customFormat="1" ht="22.5" customHeight="1" x14ac:dyDescent="0.45">
      <c r="A13" s="255"/>
      <c r="B13" s="406" t="s">
        <v>316</v>
      </c>
      <c r="C13" s="416"/>
      <c r="D13" s="408">
        <v>6</v>
      </c>
      <c r="E13" s="406" t="s">
        <v>333</v>
      </c>
      <c r="F13" s="407"/>
      <c r="G13" s="408">
        <v>6</v>
      </c>
      <c r="H13" s="406" t="s">
        <v>308</v>
      </c>
      <c r="I13" s="407" t="s">
        <v>309</v>
      </c>
      <c r="J13" s="408">
        <v>10</v>
      </c>
      <c r="K13" s="418" t="s">
        <v>322</v>
      </c>
      <c r="L13" s="407"/>
      <c r="M13" s="408">
        <v>6</v>
      </c>
      <c r="N13" s="419" t="s">
        <v>432</v>
      </c>
      <c r="O13" s="407"/>
      <c r="P13" s="408">
        <v>1</v>
      </c>
      <c r="Q13" s="419" t="s">
        <v>366</v>
      </c>
      <c r="R13" s="407"/>
      <c r="S13" s="408">
        <v>1</v>
      </c>
      <c r="T13" s="406" t="s">
        <v>359</v>
      </c>
      <c r="U13" s="407"/>
      <c r="V13" s="408">
        <v>2</v>
      </c>
      <c r="W13" s="406" t="s">
        <v>386</v>
      </c>
      <c r="X13" s="407"/>
      <c r="Y13" s="408">
        <v>1</v>
      </c>
      <c r="AA13" s="115"/>
      <c r="AB13" s="115"/>
    </row>
    <row r="14" spans="1:28" s="143" customFormat="1" ht="22.5" customHeight="1" x14ac:dyDescent="0.45">
      <c r="A14" s="255"/>
      <c r="B14" s="406" t="s">
        <v>430</v>
      </c>
      <c r="C14" s="407"/>
      <c r="D14" s="408">
        <v>1</v>
      </c>
      <c r="E14" s="419" t="s">
        <v>342</v>
      </c>
      <c r="F14" s="407"/>
      <c r="G14" s="408">
        <v>6</v>
      </c>
      <c r="H14" s="419" t="s">
        <v>314</v>
      </c>
      <c r="I14" s="407"/>
      <c r="J14" s="408">
        <v>1</v>
      </c>
      <c r="K14" s="419" t="s">
        <v>334</v>
      </c>
      <c r="L14" s="407"/>
      <c r="M14" s="408">
        <v>2</v>
      </c>
      <c r="N14" s="406" t="s">
        <v>440</v>
      </c>
      <c r="O14" s="407"/>
      <c r="P14" s="408">
        <v>1</v>
      </c>
      <c r="Q14" s="406" t="s">
        <v>374</v>
      </c>
      <c r="R14" s="407"/>
      <c r="S14" s="408">
        <v>1</v>
      </c>
      <c r="T14" s="406" t="s">
        <v>360</v>
      </c>
      <c r="U14" s="416"/>
      <c r="V14" s="408">
        <v>1</v>
      </c>
      <c r="W14" s="406" t="s">
        <v>394</v>
      </c>
      <c r="X14" s="416"/>
      <c r="Y14" s="408">
        <v>1</v>
      </c>
      <c r="AA14" s="115"/>
      <c r="AB14" s="115"/>
    </row>
    <row r="15" spans="1:28" s="143" customFormat="1" ht="22.5" customHeight="1" x14ac:dyDescent="0.45">
      <c r="A15" s="255"/>
      <c r="B15" s="406" t="s">
        <v>341</v>
      </c>
      <c r="C15" s="407"/>
      <c r="D15" s="408">
        <v>7</v>
      </c>
      <c r="E15" s="406" t="s">
        <v>353</v>
      </c>
      <c r="F15" s="407"/>
      <c r="G15" s="408">
        <v>9</v>
      </c>
      <c r="H15" s="406" t="s">
        <v>326</v>
      </c>
      <c r="I15" s="407"/>
      <c r="J15" s="408">
        <v>8</v>
      </c>
      <c r="K15" s="406" t="s">
        <v>348</v>
      </c>
      <c r="L15" s="407"/>
      <c r="M15" s="408">
        <v>1</v>
      </c>
      <c r="N15" s="419" t="s">
        <v>453</v>
      </c>
      <c r="O15" s="416"/>
      <c r="P15" s="408">
        <v>1</v>
      </c>
      <c r="Q15" s="406" t="s">
        <v>378</v>
      </c>
      <c r="R15" s="407"/>
      <c r="S15" s="408">
        <v>2</v>
      </c>
      <c r="T15" s="419" t="s">
        <v>368</v>
      </c>
      <c r="U15" s="407"/>
      <c r="V15" s="408">
        <v>1</v>
      </c>
      <c r="W15" s="406" t="s">
        <v>417</v>
      </c>
      <c r="X15" s="407"/>
      <c r="Y15" s="408">
        <v>1</v>
      </c>
      <c r="AA15" s="115"/>
      <c r="AB15" s="115"/>
    </row>
    <row r="16" spans="1:28" s="143" customFormat="1" ht="22.5" customHeight="1" x14ac:dyDescent="0.45">
      <c r="A16" s="255"/>
      <c r="B16" s="406" t="s">
        <v>346</v>
      </c>
      <c r="C16" s="407"/>
      <c r="D16" s="408">
        <v>3</v>
      </c>
      <c r="E16" s="406" t="s">
        <v>404</v>
      </c>
      <c r="F16" s="407"/>
      <c r="G16" s="408">
        <v>1</v>
      </c>
      <c r="H16" s="406" t="s">
        <v>355</v>
      </c>
      <c r="I16" s="407"/>
      <c r="J16" s="408">
        <v>3</v>
      </c>
      <c r="K16" s="406" t="s">
        <v>356</v>
      </c>
      <c r="L16" s="407"/>
      <c r="M16" s="408">
        <v>1</v>
      </c>
      <c r="N16" s="406" t="s">
        <v>467</v>
      </c>
      <c r="O16" s="407"/>
      <c r="P16" s="408">
        <v>1</v>
      </c>
      <c r="Q16" s="406" t="s">
        <v>398</v>
      </c>
      <c r="R16" s="407" t="s">
        <v>275</v>
      </c>
      <c r="S16" s="408">
        <v>1</v>
      </c>
      <c r="T16" s="406" t="s">
        <v>376</v>
      </c>
      <c r="U16" s="407"/>
      <c r="V16" s="408">
        <v>1</v>
      </c>
      <c r="W16" s="406" t="s">
        <v>433</v>
      </c>
      <c r="X16" s="407"/>
      <c r="Y16" s="408">
        <v>1</v>
      </c>
      <c r="AA16" s="115"/>
      <c r="AB16" s="115"/>
    </row>
    <row r="17" spans="1:29" s="143" customFormat="1" ht="22.5" customHeight="1" x14ac:dyDescent="0.45">
      <c r="A17" s="255"/>
      <c r="B17" s="406" t="s">
        <v>391</v>
      </c>
      <c r="C17" s="407"/>
      <c r="D17" s="408">
        <v>1</v>
      </c>
      <c r="E17" s="419" t="s">
        <v>412</v>
      </c>
      <c r="F17" s="407"/>
      <c r="G17" s="408">
        <v>1</v>
      </c>
      <c r="H17" s="419" t="s">
        <v>363</v>
      </c>
      <c r="I17" s="416"/>
      <c r="J17" s="417">
        <v>1</v>
      </c>
      <c r="K17" s="419" t="s">
        <v>396</v>
      </c>
      <c r="L17" s="407"/>
      <c r="M17" s="408">
        <v>1</v>
      </c>
      <c r="N17" s="406" t="s">
        <v>468</v>
      </c>
      <c r="O17" s="407" t="s">
        <v>469</v>
      </c>
      <c r="P17" s="408">
        <v>1</v>
      </c>
      <c r="Q17" s="419" t="s">
        <v>413</v>
      </c>
      <c r="R17" s="416"/>
      <c r="S17" s="408">
        <v>1</v>
      </c>
      <c r="T17" s="406" t="s">
        <v>392</v>
      </c>
      <c r="U17" s="407"/>
      <c r="V17" s="408">
        <v>1</v>
      </c>
      <c r="W17" s="406" t="s">
        <v>441</v>
      </c>
      <c r="X17" s="407"/>
      <c r="Y17" s="408">
        <v>1</v>
      </c>
      <c r="AA17" s="115"/>
      <c r="AB17" s="115"/>
    </row>
    <row r="18" spans="1:29" s="143" customFormat="1" ht="22.5" customHeight="1" thickBot="1" x14ac:dyDescent="0.5">
      <c r="A18" s="256"/>
      <c r="B18" s="409" t="s">
        <v>414</v>
      </c>
      <c r="C18" s="410"/>
      <c r="D18" s="411">
        <v>1</v>
      </c>
      <c r="E18" s="409" t="s">
        <v>420</v>
      </c>
      <c r="F18" s="410"/>
      <c r="G18" s="411">
        <v>1</v>
      </c>
      <c r="H18" s="409" t="s">
        <v>370</v>
      </c>
      <c r="I18" s="410"/>
      <c r="J18" s="411">
        <v>1</v>
      </c>
      <c r="K18" s="409" t="s">
        <v>403</v>
      </c>
      <c r="L18" s="410"/>
      <c r="M18" s="411">
        <v>1</v>
      </c>
      <c r="N18" s="409" t="s">
        <v>471</v>
      </c>
      <c r="O18" s="410" t="s">
        <v>470</v>
      </c>
      <c r="P18" s="411">
        <v>1</v>
      </c>
      <c r="Q18" s="409" t="s">
        <v>437</v>
      </c>
      <c r="R18" s="420"/>
      <c r="S18" s="421">
        <v>1</v>
      </c>
      <c r="T18" s="409" t="s">
        <v>399</v>
      </c>
      <c r="U18" s="410"/>
      <c r="V18" s="411">
        <v>1</v>
      </c>
      <c r="W18" s="409" t="s">
        <v>459</v>
      </c>
      <c r="X18" s="410"/>
      <c r="Y18" s="411">
        <v>1</v>
      </c>
      <c r="AA18" s="115"/>
      <c r="AB18" s="115"/>
    </row>
    <row r="19" spans="1:29" s="143" customFormat="1" ht="22.5" customHeight="1" thickTop="1" thickBot="1" x14ac:dyDescent="0.5">
      <c r="A19" s="345" t="s">
        <v>47</v>
      </c>
      <c r="B19" s="412" t="s">
        <v>287</v>
      </c>
      <c r="C19" s="413"/>
      <c r="D19" s="414">
        <v>36</v>
      </c>
      <c r="E19" s="415" t="s">
        <v>298</v>
      </c>
      <c r="F19" s="413"/>
      <c r="G19" s="414">
        <v>15</v>
      </c>
      <c r="H19" s="415" t="s">
        <v>280</v>
      </c>
      <c r="I19" s="413"/>
      <c r="J19" s="414">
        <v>2</v>
      </c>
      <c r="K19" s="415" t="s">
        <v>274</v>
      </c>
      <c r="L19" s="413" t="s">
        <v>275</v>
      </c>
      <c r="M19" s="414">
        <v>1</v>
      </c>
      <c r="N19" s="412" t="s">
        <v>294</v>
      </c>
      <c r="O19" s="416"/>
      <c r="P19" s="417">
        <v>1</v>
      </c>
      <c r="Q19" s="415" t="s">
        <v>283</v>
      </c>
      <c r="R19" s="413"/>
      <c r="S19" s="414">
        <v>2</v>
      </c>
      <c r="T19" s="412" t="s">
        <v>263</v>
      </c>
      <c r="U19" s="416" t="s">
        <v>264</v>
      </c>
      <c r="V19" s="417">
        <v>16</v>
      </c>
      <c r="W19" s="415" t="s">
        <v>291</v>
      </c>
      <c r="X19" s="413"/>
      <c r="Y19" s="414">
        <v>2</v>
      </c>
      <c r="AA19" s="115"/>
      <c r="AB19" s="115"/>
    </row>
    <row r="20" spans="1:29" s="143" customFormat="1" ht="22.5" customHeight="1" x14ac:dyDescent="0.45">
      <c r="A20" s="255"/>
      <c r="B20" s="412" t="s">
        <v>288</v>
      </c>
      <c r="C20" s="416"/>
      <c r="D20" s="417">
        <v>4</v>
      </c>
      <c r="E20" s="412" t="s">
        <v>299</v>
      </c>
      <c r="F20" s="416"/>
      <c r="G20" s="417">
        <v>1</v>
      </c>
      <c r="H20" s="406" t="s">
        <v>331</v>
      </c>
      <c r="I20" s="416"/>
      <c r="J20" s="408">
        <v>3</v>
      </c>
      <c r="K20" s="412" t="s">
        <v>276</v>
      </c>
      <c r="L20" s="416" t="s">
        <v>277</v>
      </c>
      <c r="M20" s="417">
        <v>1</v>
      </c>
      <c r="N20" s="412" t="s">
        <v>295</v>
      </c>
      <c r="O20" s="416"/>
      <c r="P20" s="417">
        <v>1</v>
      </c>
      <c r="Q20" s="406" t="s">
        <v>303</v>
      </c>
      <c r="R20" s="407"/>
      <c r="S20" s="408">
        <v>9</v>
      </c>
      <c r="T20" s="412" t="s">
        <v>265</v>
      </c>
      <c r="U20" s="416" t="s">
        <v>266</v>
      </c>
      <c r="V20" s="417">
        <v>46</v>
      </c>
      <c r="W20" s="412" t="s">
        <v>292</v>
      </c>
      <c r="X20" s="416"/>
      <c r="Y20" s="417">
        <v>2</v>
      </c>
      <c r="AA20" s="115"/>
      <c r="AB20" s="115"/>
    </row>
    <row r="21" spans="1:29" s="143" customFormat="1" ht="22.5" customHeight="1" x14ac:dyDescent="0.45">
      <c r="A21" s="255"/>
      <c r="B21" s="406" t="s">
        <v>321</v>
      </c>
      <c r="C21" s="407"/>
      <c r="D21" s="408">
        <v>4</v>
      </c>
      <c r="E21" s="406" t="s">
        <v>320</v>
      </c>
      <c r="F21" s="407"/>
      <c r="G21" s="408">
        <v>25</v>
      </c>
      <c r="H21" s="419" t="s">
        <v>335</v>
      </c>
      <c r="I21" s="407"/>
      <c r="J21" s="408">
        <v>4</v>
      </c>
      <c r="K21" s="406" t="s">
        <v>336</v>
      </c>
      <c r="L21" s="407"/>
      <c r="M21" s="408">
        <v>13</v>
      </c>
      <c r="N21" s="419" t="s">
        <v>329</v>
      </c>
      <c r="O21" s="407"/>
      <c r="P21" s="408">
        <v>5</v>
      </c>
      <c r="Q21" s="406" t="s">
        <v>351</v>
      </c>
      <c r="R21" s="407"/>
      <c r="S21" s="408">
        <v>9</v>
      </c>
      <c r="T21" s="419" t="s">
        <v>312</v>
      </c>
      <c r="U21" s="407"/>
      <c r="V21" s="408">
        <v>27</v>
      </c>
      <c r="W21" s="419" t="s">
        <v>306</v>
      </c>
      <c r="X21" s="407"/>
      <c r="Y21" s="408">
        <v>7</v>
      </c>
      <c r="AA21" s="115"/>
      <c r="AB21" s="115"/>
    </row>
    <row r="22" spans="1:29" s="143" customFormat="1" ht="22.5" customHeight="1" x14ac:dyDescent="0.45">
      <c r="A22" s="255"/>
      <c r="B22" s="406" t="s">
        <v>364</v>
      </c>
      <c r="C22" s="407"/>
      <c r="D22" s="408">
        <v>20</v>
      </c>
      <c r="E22" s="406" t="s">
        <v>325</v>
      </c>
      <c r="F22" s="407"/>
      <c r="G22" s="408">
        <v>1</v>
      </c>
      <c r="H22" s="406" t="s">
        <v>339</v>
      </c>
      <c r="I22" s="407"/>
      <c r="J22" s="408">
        <v>5</v>
      </c>
      <c r="K22" s="406" t="s">
        <v>455</v>
      </c>
      <c r="L22" s="407"/>
      <c r="M22" s="408">
        <v>1</v>
      </c>
      <c r="N22" s="406" t="s">
        <v>393</v>
      </c>
      <c r="O22" s="407"/>
      <c r="P22" s="408">
        <v>5</v>
      </c>
      <c r="Q22" s="419" t="s">
        <v>375</v>
      </c>
      <c r="R22" s="407"/>
      <c r="S22" s="408">
        <v>20</v>
      </c>
      <c r="T22" s="406" t="s">
        <v>361</v>
      </c>
      <c r="U22" s="407"/>
      <c r="V22" s="408">
        <v>44</v>
      </c>
      <c r="W22" s="406" t="s">
        <v>352</v>
      </c>
      <c r="X22" s="407"/>
      <c r="Y22" s="408">
        <v>50</v>
      </c>
      <c r="AA22" s="115"/>
      <c r="AB22" s="115"/>
    </row>
    <row r="23" spans="1:29" s="143" customFormat="1" ht="22.5" customHeight="1" x14ac:dyDescent="0.45">
      <c r="A23" s="255"/>
      <c r="B23" s="406" t="s">
        <v>390</v>
      </c>
      <c r="C23" s="416"/>
      <c r="D23" s="408">
        <v>2</v>
      </c>
      <c r="E23" s="406" t="s">
        <v>365</v>
      </c>
      <c r="F23" s="407"/>
      <c r="G23" s="408">
        <v>1</v>
      </c>
      <c r="H23" s="406" t="s">
        <v>354</v>
      </c>
      <c r="I23" s="407"/>
      <c r="J23" s="408">
        <v>14</v>
      </c>
      <c r="K23" s="406" t="s">
        <v>381</v>
      </c>
      <c r="L23" s="407"/>
      <c r="M23" s="408">
        <v>14</v>
      </c>
      <c r="N23" s="406" t="s">
        <v>419</v>
      </c>
      <c r="O23" s="407"/>
      <c r="P23" s="408">
        <v>4</v>
      </c>
      <c r="Q23" s="406" t="s">
        <v>416</v>
      </c>
      <c r="R23" s="407"/>
      <c r="S23" s="408">
        <v>18</v>
      </c>
      <c r="T23" s="406" t="s">
        <v>415</v>
      </c>
      <c r="U23" s="407"/>
      <c r="V23" s="408">
        <v>11</v>
      </c>
      <c r="W23" s="406" t="s">
        <v>362</v>
      </c>
      <c r="X23" s="407"/>
      <c r="Y23" s="408">
        <v>1</v>
      </c>
      <c r="AA23" s="115"/>
      <c r="AB23" s="115"/>
    </row>
    <row r="24" spans="1:29" s="143" customFormat="1" ht="22.5" customHeight="1" x14ac:dyDescent="0.45">
      <c r="A24" s="255"/>
      <c r="B24" s="406" t="s">
        <v>357</v>
      </c>
      <c r="C24" s="407"/>
      <c r="D24" s="408">
        <v>4</v>
      </c>
      <c r="E24" s="406" t="s">
        <v>389</v>
      </c>
      <c r="F24" s="407"/>
      <c r="G24" s="408">
        <v>3</v>
      </c>
      <c r="H24" s="406" t="s">
        <v>377</v>
      </c>
      <c r="I24" s="407"/>
      <c r="J24" s="408">
        <v>37</v>
      </c>
      <c r="K24" s="406" t="s">
        <v>411</v>
      </c>
      <c r="L24" s="407"/>
      <c r="M24" s="408">
        <v>1</v>
      </c>
      <c r="N24" s="406" t="s">
        <v>424</v>
      </c>
      <c r="O24" s="407"/>
      <c r="P24" s="408">
        <v>3</v>
      </c>
      <c r="Q24" s="406" t="s">
        <v>421</v>
      </c>
      <c r="R24" s="416"/>
      <c r="S24" s="408">
        <v>1</v>
      </c>
      <c r="T24" s="406" t="s">
        <v>423</v>
      </c>
      <c r="U24" s="407"/>
      <c r="V24" s="408">
        <v>1</v>
      </c>
      <c r="W24" s="406" t="s">
        <v>371</v>
      </c>
      <c r="X24" s="407"/>
      <c r="Y24" s="408">
        <v>1</v>
      </c>
      <c r="AA24" s="115"/>
      <c r="AB24" s="115"/>
    </row>
    <row r="25" spans="1:29" s="143" customFormat="1" ht="22.5" customHeight="1" x14ac:dyDescent="0.45">
      <c r="A25" s="255"/>
      <c r="B25" s="406" t="s">
        <v>327</v>
      </c>
      <c r="C25" s="407"/>
      <c r="D25" s="408">
        <v>3</v>
      </c>
      <c r="E25" s="406" t="s">
        <v>422</v>
      </c>
      <c r="F25" s="407"/>
      <c r="G25" s="408">
        <v>40</v>
      </c>
      <c r="H25" s="406" t="s">
        <v>385</v>
      </c>
      <c r="I25" s="407"/>
      <c r="J25" s="408">
        <v>38</v>
      </c>
      <c r="K25" s="406" t="s">
        <v>425</v>
      </c>
      <c r="L25" s="407"/>
      <c r="M25" s="408">
        <v>10</v>
      </c>
      <c r="N25" s="406" t="s">
        <v>431</v>
      </c>
      <c r="O25" s="407"/>
      <c r="P25" s="408">
        <v>16</v>
      </c>
      <c r="Q25" s="406" t="s">
        <v>429</v>
      </c>
      <c r="R25" s="407"/>
      <c r="S25" s="408">
        <v>1</v>
      </c>
      <c r="T25" s="419" t="s">
        <v>439</v>
      </c>
      <c r="U25" s="407"/>
      <c r="V25" s="408">
        <v>1</v>
      </c>
      <c r="W25" s="419" t="s">
        <v>448</v>
      </c>
      <c r="X25" s="407"/>
      <c r="Y25" s="408">
        <v>1</v>
      </c>
      <c r="AA25" s="115"/>
      <c r="AB25" s="115"/>
    </row>
    <row r="26" spans="1:29" s="143" customFormat="1" ht="22.5" customHeight="1" thickBot="1" x14ac:dyDescent="0.5">
      <c r="A26" s="346"/>
      <c r="B26" s="409" t="s">
        <v>435</v>
      </c>
      <c r="C26" s="410"/>
      <c r="D26" s="411">
        <v>2</v>
      </c>
      <c r="E26" s="409" t="s">
        <v>428</v>
      </c>
      <c r="F26" s="420"/>
      <c r="G26" s="411">
        <v>31</v>
      </c>
      <c r="H26" s="409" t="s">
        <v>407</v>
      </c>
      <c r="I26" s="420"/>
      <c r="J26" s="411">
        <v>15</v>
      </c>
      <c r="K26" s="409" t="s">
        <v>427</v>
      </c>
      <c r="L26" s="410"/>
      <c r="M26" s="411">
        <v>1</v>
      </c>
      <c r="N26" s="409" t="s">
        <v>443</v>
      </c>
      <c r="O26" s="410"/>
      <c r="P26" s="411">
        <v>17</v>
      </c>
      <c r="Q26" s="409" t="s">
        <v>450</v>
      </c>
      <c r="R26" s="410"/>
      <c r="S26" s="411">
        <v>1</v>
      </c>
      <c r="T26" s="409" t="s">
        <v>452</v>
      </c>
      <c r="U26" s="410"/>
      <c r="V26" s="411">
        <v>1</v>
      </c>
      <c r="W26" s="409" t="s">
        <v>462</v>
      </c>
      <c r="X26" s="410"/>
      <c r="Y26" s="411">
        <v>1</v>
      </c>
      <c r="AA26" s="115"/>
      <c r="AB26" s="115"/>
    </row>
    <row r="27" spans="1:29" s="143" customFormat="1" ht="22.5" customHeight="1" thickTop="1" thickBot="1" x14ac:dyDescent="0.5">
      <c r="A27" s="345" t="s">
        <v>48</v>
      </c>
      <c r="B27" s="412" t="s">
        <v>289</v>
      </c>
      <c r="C27" s="413"/>
      <c r="D27" s="414">
        <v>82</v>
      </c>
      <c r="E27" s="412" t="s">
        <v>300</v>
      </c>
      <c r="F27" s="416" t="s">
        <v>301</v>
      </c>
      <c r="G27" s="417">
        <v>29</v>
      </c>
      <c r="H27" s="415" t="s">
        <v>281</v>
      </c>
      <c r="I27" s="413"/>
      <c r="J27" s="414">
        <v>38</v>
      </c>
      <c r="K27" s="406" t="s">
        <v>311</v>
      </c>
      <c r="L27" s="422"/>
      <c r="M27" s="423">
        <v>57</v>
      </c>
      <c r="N27" s="415" t="s">
        <v>296</v>
      </c>
      <c r="O27" s="413"/>
      <c r="P27" s="414">
        <v>1</v>
      </c>
      <c r="Q27" s="412" t="s">
        <v>284</v>
      </c>
      <c r="R27" s="416"/>
      <c r="S27" s="417">
        <v>1</v>
      </c>
      <c r="T27" s="415" t="s">
        <v>273</v>
      </c>
      <c r="U27" s="413" t="s">
        <v>270</v>
      </c>
      <c r="V27" s="414">
        <v>35</v>
      </c>
      <c r="W27" s="415" t="s">
        <v>293</v>
      </c>
      <c r="X27" s="413"/>
      <c r="Y27" s="414">
        <v>144</v>
      </c>
      <c r="AA27" s="115"/>
      <c r="AB27" s="115"/>
    </row>
    <row r="28" spans="1:29" s="143" customFormat="1" ht="22.5" customHeight="1" x14ac:dyDescent="0.45">
      <c r="A28" s="257"/>
      <c r="B28" s="406" t="s">
        <v>383</v>
      </c>
      <c r="C28" s="407"/>
      <c r="D28" s="408">
        <v>45</v>
      </c>
      <c r="E28" s="406" t="s">
        <v>310</v>
      </c>
      <c r="F28" s="407"/>
      <c r="G28" s="408">
        <v>12</v>
      </c>
      <c r="H28" s="406" t="s">
        <v>305</v>
      </c>
      <c r="I28" s="416"/>
      <c r="J28" s="408">
        <v>31</v>
      </c>
      <c r="K28" s="419" t="s">
        <v>367</v>
      </c>
      <c r="L28" s="407"/>
      <c r="M28" s="408">
        <v>60</v>
      </c>
      <c r="N28" s="406" t="s">
        <v>302</v>
      </c>
      <c r="O28" s="407"/>
      <c r="P28" s="408">
        <v>72</v>
      </c>
      <c r="Q28" s="406" t="s">
        <v>318</v>
      </c>
      <c r="R28" s="407"/>
      <c r="S28" s="408">
        <v>160</v>
      </c>
      <c r="T28" s="406" t="s">
        <v>418</v>
      </c>
      <c r="U28" s="407"/>
      <c r="V28" s="408">
        <v>43</v>
      </c>
      <c r="W28" s="419" t="s">
        <v>401</v>
      </c>
      <c r="X28" s="407"/>
      <c r="Y28" s="408">
        <v>5</v>
      </c>
      <c r="AA28" s="115"/>
      <c r="AB28" s="115"/>
    </row>
    <row r="29" spans="1:29" s="143" customFormat="1" ht="22.5" customHeight="1" x14ac:dyDescent="0.45">
      <c r="A29" s="258"/>
      <c r="B29" s="406" t="s">
        <v>402</v>
      </c>
      <c r="C29" s="407"/>
      <c r="D29" s="408">
        <v>40</v>
      </c>
      <c r="E29" s="419" t="s">
        <v>317</v>
      </c>
      <c r="F29" s="416"/>
      <c r="G29" s="408">
        <v>3</v>
      </c>
      <c r="H29" s="419" t="s">
        <v>349</v>
      </c>
      <c r="I29" s="407"/>
      <c r="J29" s="408">
        <v>29</v>
      </c>
      <c r="K29" s="406" t="s">
        <v>344</v>
      </c>
      <c r="L29" s="407"/>
      <c r="M29" s="408">
        <v>90</v>
      </c>
      <c r="N29" s="406" t="s">
        <v>343</v>
      </c>
      <c r="O29" s="407"/>
      <c r="P29" s="408">
        <v>30</v>
      </c>
      <c r="Q29" s="419" t="s">
        <v>330</v>
      </c>
      <c r="R29" s="416"/>
      <c r="S29" s="408">
        <v>5</v>
      </c>
      <c r="T29" s="406" t="s">
        <v>446</v>
      </c>
      <c r="U29" s="407"/>
      <c r="V29" s="408">
        <v>7</v>
      </c>
      <c r="W29" s="406" t="s">
        <v>409</v>
      </c>
      <c r="X29" s="407"/>
      <c r="Y29" s="408">
        <v>1</v>
      </c>
      <c r="AA29" s="115"/>
      <c r="AB29" s="115"/>
    </row>
    <row r="30" spans="1:29" s="143" customFormat="1" ht="22.5" customHeight="1" x14ac:dyDescent="0.45">
      <c r="A30" s="258"/>
      <c r="B30" s="406" t="s">
        <v>406</v>
      </c>
      <c r="C30" s="407"/>
      <c r="D30" s="408">
        <v>1</v>
      </c>
      <c r="E30" s="406" t="s">
        <v>347</v>
      </c>
      <c r="F30" s="407"/>
      <c r="G30" s="408">
        <v>63</v>
      </c>
      <c r="H30" s="406" t="s">
        <v>410</v>
      </c>
      <c r="I30" s="407"/>
      <c r="J30" s="408">
        <v>1</v>
      </c>
      <c r="K30" s="406" t="s">
        <v>458</v>
      </c>
      <c r="L30" s="407"/>
      <c r="M30" s="408">
        <v>1</v>
      </c>
      <c r="N30" s="406" t="s">
        <v>369</v>
      </c>
      <c r="O30" s="407"/>
      <c r="P30" s="408">
        <v>42</v>
      </c>
      <c r="Q30" s="406" t="s">
        <v>395</v>
      </c>
      <c r="R30" s="407"/>
      <c r="S30" s="408">
        <v>41</v>
      </c>
      <c r="T30" s="419" t="s">
        <v>449</v>
      </c>
      <c r="U30" s="407"/>
      <c r="V30" s="408">
        <v>16</v>
      </c>
      <c r="W30" s="406" t="s">
        <v>434</v>
      </c>
      <c r="X30" s="407"/>
      <c r="Y30" s="408">
        <v>8</v>
      </c>
      <c r="AA30" s="115"/>
      <c r="AB30" s="115"/>
    </row>
    <row r="31" spans="1:29" s="143" customFormat="1" ht="22.5" customHeight="1" x14ac:dyDescent="0.45">
      <c r="A31" s="258"/>
      <c r="B31" s="406" t="s">
        <v>426</v>
      </c>
      <c r="C31" s="407"/>
      <c r="D31" s="408">
        <v>41</v>
      </c>
      <c r="E31" s="406" t="s">
        <v>350</v>
      </c>
      <c r="F31" s="407"/>
      <c r="G31" s="408">
        <v>36</v>
      </c>
      <c r="H31" s="419" t="s">
        <v>442</v>
      </c>
      <c r="I31" s="407"/>
      <c r="J31" s="408">
        <v>1</v>
      </c>
      <c r="K31" s="419" t="s">
        <v>461</v>
      </c>
      <c r="L31" s="407"/>
      <c r="M31" s="408">
        <v>1</v>
      </c>
      <c r="N31" s="406" t="s">
        <v>400</v>
      </c>
      <c r="O31" s="407"/>
      <c r="P31" s="408">
        <v>1</v>
      </c>
      <c r="Q31" s="406" t="s">
        <v>463</v>
      </c>
      <c r="R31" s="407"/>
      <c r="S31" s="408">
        <v>1</v>
      </c>
      <c r="T31" s="406" t="s">
        <v>456</v>
      </c>
      <c r="U31" s="407"/>
      <c r="V31" s="408">
        <v>2</v>
      </c>
      <c r="W31" s="406" t="s">
        <v>454</v>
      </c>
      <c r="X31" s="407"/>
      <c r="Y31" s="408">
        <v>1</v>
      </c>
      <c r="AA31" s="115"/>
      <c r="AB31" s="115"/>
    </row>
    <row r="32" spans="1:29" s="143" customFormat="1" ht="22.5" customHeight="1" thickBot="1" x14ac:dyDescent="0.5">
      <c r="A32" s="258"/>
      <c r="B32" s="409" t="s">
        <v>457</v>
      </c>
      <c r="C32" s="410"/>
      <c r="D32" s="411">
        <v>1</v>
      </c>
      <c r="E32" s="409" t="s">
        <v>436</v>
      </c>
      <c r="F32" s="410"/>
      <c r="G32" s="411">
        <v>5</v>
      </c>
      <c r="H32" s="409" t="s">
        <v>444</v>
      </c>
      <c r="I32" s="410"/>
      <c r="J32" s="411">
        <v>27</v>
      </c>
      <c r="K32" s="409" t="s">
        <v>465</v>
      </c>
      <c r="L32" s="410"/>
      <c r="M32" s="411">
        <v>1</v>
      </c>
      <c r="N32" s="409" t="s">
        <v>408</v>
      </c>
      <c r="O32" s="410"/>
      <c r="P32" s="411">
        <v>45</v>
      </c>
      <c r="Q32" s="409" t="s">
        <v>464</v>
      </c>
      <c r="R32" s="410"/>
      <c r="S32" s="411">
        <v>1</v>
      </c>
      <c r="T32" s="409" t="s">
        <v>466</v>
      </c>
      <c r="U32" s="410"/>
      <c r="V32" s="411">
        <v>1</v>
      </c>
      <c r="W32" s="409" t="s">
        <v>460</v>
      </c>
      <c r="X32" s="410"/>
      <c r="Y32" s="411">
        <v>8</v>
      </c>
      <c r="AA32" s="115"/>
      <c r="AB32" s="115"/>
      <c r="AC32" s="235"/>
    </row>
    <row r="33" spans="1:28" s="143" customFormat="1" ht="22.5" customHeight="1" thickTop="1" thickBot="1" x14ac:dyDescent="0.3">
      <c r="A33" s="259" t="s">
        <v>49</v>
      </c>
      <c r="B33" s="259"/>
      <c r="C33" s="311"/>
      <c r="D33" s="260">
        <f>SUM(D8:D32)</f>
        <v>345</v>
      </c>
      <c r="E33" s="261"/>
      <c r="F33" s="261"/>
      <c r="G33" s="260">
        <f>SUM(G8:G32)</f>
        <v>323</v>
      </c>
      <c r="H33" s="261"/>
      <c r="I33" s="261"/>
      <c r="J33" s="260">
        <f>SUM(J8:J32)</f>
        <v>310</v>
      </c>
      <c r="K33" s="261"/>
      <c r="L33" s="261"/>
      <c r="M33" s="260">
        <f>SUM(M8:M32)</f>
        <v>312</v>
      </c>
      <c r="N33" s="261"/>
      <c r="O33" s="261"/>
      <c r="P33" s="260">
        <f>SUM(P8:P32)</f>
        <v>285</v>
      </c>
      <c r="Q33" s="261"/>
      <c r="R33" s="261"/>
      <c r="S33" s="260">
        <f>SUM(S8:S32)</f>
        <v>342</v>
      </c>
      <c r="T33" s="261"/>
      <c r="U33" s="261"/>
      <c r="V33" s="260">
        <f>SUM(V8:V32)</f>
        <v>282</v>
      </c>
      <c r="W33" s="261"/>
      <c r="X33" s="261"/>
      <c r="Y33" s="260">
        <f>SUM(Y8:Y32)</f>
        <v>265</v>
      </c>
      <c r="AA33" s="115"/>
      <c r="AB33" s="115"/>
    </row>
    <row r="34" spans="1:28" s="143" customFormat="1" ht="22.5" customHeight="1" thickTop="1" thickBot="1" x14ac:dyDescent="0.3">
      <c r="A34" s="259"/>
      <c r="B34" s="259"/>
      <c r="C34" s="259"/>
      <c r="D34" s="262"/>
      <c r="E34" s="261"/>
      <c r="F34" s="261"/>
      <c r="G34" s="262"/>
      <c r="H34" s="261"/>
      <c r="I34" s="261"/>
      <c r="J34" s="262"/>
      <c r="K34" s="261"/>
      <c r="L34" s="261"/>
      <c r="M34" s="262"/>
      <c r="N34" s="261"/>
      <c r="O34" s="261"/>
      <c r="P34" s="262"/>
      <c r="Q34" s="261"/>
      <c r="R34" s="261"/>
      <c r="S34" s="262"/>
      <c r="T34" s="261"/>
      <c r="U34" s="261"/>
      <c r="V34" s="262"/>
      <c r="W34" s="261"/>
      <c r="X34" s="261"/>
      <c r="Y34" s="262"/>
      <c r="AA34" s="115"/>
      <c r="AB34" s="115"/>
    </row>
    <row r="35" spans="1:28" s="143" customFormat="1" ht="22.5" customHeight="1" thickTop="1" thickBot="1" x14ac:dyDescent="0.3">
      <c r="A35" s="259" t="s">
        <v>50</v>
      </c>
      <c r="B35" s="259"/>
      <c r="C35" s="311"/>
      <c r="D35" s="262">
        <f>B6-(D33-D34)</f>
        <v>61</v>
      </c>
      <c r="E35" s="261"/>
      <c r="F35" s="261"/>
      <c r="G35" s="262">
        <f>E6-(G33-G34)</f>
        <v>82</v>
      </c>
      <c r="H35" s="261"/>
      <c r="I35" s="261"/>
      <c r="J35" s="262">
        <f>H6-(J33-J34)</f>
        <v>133</v>
      </c>
      <c r="K35" s="261"/>
      <c r="L35" s="261"/>
      <c r="M35" s="262">
        <f>K6-(M33-M34)</f>
        <v>36</v>
      </c>
      <c r="N35" s="261"/>
      <c r="O35" s="261"/>
      <c r="P35" s="262">
        <f>N6-(P33-P34)</f>
        <v>32</v>
      </c>
      <c r="Q35" s="261"/>
      <c r="R35" s="261"/>
      <c r="S35" s="262">
        <f>Q6-(S33-S34)</f>
        <v>38</v>
      </c>
      <c r="T35" s="261"/>
      <c r="U35" s="261"/>
      <c r="V35" s="262">
        <f>T6-(V33-V34)</f>
        <v>65</v>
      </c>
      <c r="W35" s="261"/>
      <c r="X35" s="261"/>
      <c r="Y35" s="262">
        <f>W6-(Y33-Y34)</f>
        <v>64</v>
      </c>
      <c r="Z35" s="115" t="s">
        <v>51</v>
      </c>
      <c r="AA35" s="115"/>
      <c r="AB35" s="115"/>
    </row>
    <row r="36" spans="1:28" s="143" customFormat="1" ht="22.5" customHeight="1" thickTop="1" thickBot="1" x14ac:dyDescent="0.3">
      <c r="A36" s="259"/>
      <c r="B36" s="259"/>
      <c r="C36" s="259"/>
      <c r="D36" s="263"/>
      <c r="E36" s="261"/>
      <c r="F36" s="261"/>
      <c r="G36" s="263"/>
      <c r="H36" s="261"/>
      <c r="I36" s="261"/>
      <c r="J36" s="263"/>
      <c r="K36" s="261"/>
      <c r="L36" s="261"/>
      <c r="M36" s="263"/>
      <c r="N36" s="261"/>
      <c r="O36" s="261"/>
      <c r="P36" s="263"/>
      <c r="Q36" s="261"/>
      <c r="R36" s="261"/>
      <c r="S36" s="263"/>
      <c r="T36" s="261"/>
      <c r="U36" s="261"/>
      <c r="V36" s="263"/>
      <c r="W36" s="261"/>
      <c r="X36" s="261"/>
      <c r="Y36" s="263"/>
      <c r="Z36" s="115"/>
      <c r="AA36" s="115"/>
      <c r="AB36" s="115"/>
    </row>
    <row r="37" spans="1:28" s="143" customFormat="1" ht="22.5" customHeight="1" x14ac:dyDescent="0.25">
      <c r="A37" s="264">
        <v>300</v>
      </c>
      <c r="B37" s="234" t="s">
        <v>52</v>
      </c>
      <c r="C37" s="234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</row>
  </sheetData>
  <mergeCells count="8">
    <mergeCell ref="N4:P5"/>
    <mergeCell ref="Q4:S5"/>
    <mergeCell ref="T4:V5"/>
    <mergeCell ref="W4:Y5"/>
    <mergeCell ref="B4:D5"/>
    <mergeCell ref="E4:G5"/>
    <mergeCell ref="H4:J5"/>
    <mergeCell ref="K4:M5"/>
  </mergeCells>
  <hyperlinks>
    <hyperlink ref="K21" r:id="rId1" display="https://www.fantacalcio.it/serie-a/squadre/juventus/conceicao/6884" xr:uid="{29E88208-2EE7-48E9-96D0-64D59F61CC05}"/>
    <hyperlink ref="W9" r:id="rId2" display="https://www.fantacalcio.it/serie-a/squadre/juventus/grabara/7603" xr:uid="{BBDD9770-DF2F-415C-B771-BAA380007034}"/>
    <hyperlink ref="H29" r:id="rId3" display="https://www.fantacalcio.it/serie-a/squadre/juventus/woltemade/6752" xr:uid="{B4903F4D-CE67-4996-8DC4-F30C894B1D7A}"/>
    <hyperlink ref="T18" r:id="rId4" display="https://www.fantacalcio.it/serie-a/squadre/lazio/tavares-n/5620" xr:uid="{6C29CDCF-CEF2-4BD4-B801-DCF986101DC2}"/>
    <hyperlink ref="B29" r:id="rId5" display="https://www.fantacalcio.it/serie-a/squadre/napoli/santos-a/7351" xr:uid="{5D65D4B9-B51E-40E0-A78C-DBA71C208474}"/>
  </hyperlinks>
  <pageMargins left="0.2" right="0.19" top="0.17" bottom="0.17" header="0.17" footer="0.16"/>
  <pageSetup paperSize="9" scale="48" orientation="landscape" r:id="rId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78C0-0CEA-4248-B8A0-46189924F07C}">
  <sheetPr codeName="Foglio5">
    <tabColor indexed="47"/>
    <pageSetUpPr fitToPage="1"/>
  </sheetPr>
  <dimension ref="A1:AA59"/>
  <sheetViews>
    <sheetView topLeftCell="A4" zoomScale="85" zoomScaleNormal="85" workbookViewId="0">
      <selection activeCell="B1" sqref="B1"/>
    </sheetView>
  </sheetViews>
  <sheetFormatPr defaultRowHeight="12.5" x14ac:dyDescent="0.25"/>
  <cols>
    <col min="1" max="1" width="12.453125" customWidth="1"/>
    <col min="2" max="2" width="24.08984375" customWidth="1"/>
    <col min="3" max="3" width="6" customWidth="1"/>
    <col min="5" max="5" width="24.08984375" customWidth="1"/>
    <col min="6" max="6" width="6" customWidth="1"/>
    <col min="8" max="8" width="24.08984375" customWidth="1"/>
    <col min="9" max="9" width="6" customWidth="1"/>
    <col min="10" max="10" width="7.36328125" bestFit="1" customWidth="1"/>
    <col min="11" max="11" width="25.6328125" customWidth="1"/>
    <col min="12" max="12" width="6" customWidth="1"/>
    <col min="13" max="13" width="7.36328125" customWidth="1"/>
    <col min="14" max="14" width="24.08984375" customWidth="1"/>
    <col min="15" max="15" width="6" customWidth="1"/>
    <col min="16" max="16" width="7.36328125" customWidth="1"/>
    <col min="17" max="17" width="24.08984375" customWidth="1"/>
    <col min="18" max="18" width="6" customWidth="1"/>
    <col min="19" max="19" width="7.36328125" customWidth="1"/>
    <col min="20" max="20" width="24.08984375" customWidth="1"/>
    <col min="21" max="21" width="6.6328125" customWidth="1"/>
    <col min="22" max="22" width="7.36328125" customWidth="1"/>
    <col min="23" max="23" width="24.08984375" customWidth="1"/>
    <col min="24" max="24" width="6" customWidth="1"/>
    <col min="25" max="25" width="7.36328125" customWidth="1"/>
    <col min="27" max="27" width="8.36328125" customWidth="1"/>
  </cols>
  <sheetData>
    <row r="1" spans="1:27" ht="25.5" customHeight="1" x14ac:dyDescent="0.6">
      <c r="B1" s="208" t="s">
        <v>53</v>
      </c>
      <c r="C1" s="208"/>
      <c r="D1" s="208"/>
      <c r="E1" s="208"/>
      <c r="F1" s="208"/>
      <c r="G1" s="11"/>
      <c r="H1" s="11"/>
      <c r="I1" s="11"/>
      <c r="J1" s="11"/>
      <c r="K1" s="11"/>
      <c r="L1" s="11"/>
    </row>
    <row r="2" spans="1:27" ht="17.25" customHeight="1" thickBot="1" x14ac:dyDescent="0.55000000000000004">
      <c r="B2" s="209"/>
      <c r="C2" s="209"/>
    </row>
    <row r="3" spans="1:27" s="143" customFormat="1" ht="19" thickTop="1" thickBot="1" x14ac:dyDescent="0.3">
      <c r="A3" s="210" t="s">
        <v>33</v>
      </c>
      <c r="B3" s="213">
        <f>'Rose Iniziali'!B3</f>
        <v>106</v>
      </c>
      <c r="C3" s="316"/>
      <c r="D3" s="212" t="s">
        <v>34</v>
      </c>
      <c r="E3" s="213">
        <f>'Rose Iniziali'!E3</f>
        <v>105</v>
      </c>
      <c r="F3" s="316"/>
      <c r="G3" s="212" t="s">
        <v>34</v>
      </c>
      <c r="H3" s="213">
        <f>'Rose Iniziali'!H3</f>
        <v>143</v>
      </c>
      <c r="I3" s="316"/>
      <c r="J3" s="212" t="s">
        <v>34</v>
      </c>
      <c r="K3" s="213">
        <f>'Rose Iniziali'!K3</f>
        <v>48</v>
      </c>
      <c r="L3" s="316"/>
      <c r="M3" s="212" t="s">
        <v>34</v>
      </c>
      <c r="N3" s="213">
        <f>'Rose Iniziali'!N3</f>
        <v>17</v>
      </c>
      <c r="O3" s="316"/>
      <c r="P3" s="212" t="s">
        <v>34</v>
      </c>
      <c r="Q3" s="213">
        <f>'Rose Iniziali'!Q3</f>
        <v>80</v>
      </c>
      <c r="R3" s="316"/>
      <c r="S3" s="212" t="s">
        <v>34</v>
      </c>
      <c r="T3" s="213">
        <f>'Rose Iniziali'!T3</f>
        <v>47</v>
      </c>
      <c r="U3" s="316"/>
      <c r="V3" s="212" t="s">
        <v>34</v>
      </c>
      <c r="W3" s="213">
        <v>12</v>
      </c>
      <c r="X3" s="316"/>
      <c r="Y3" s="212" t="s">
        <v>34</v>
      </c>
      <c r="Z3" s="246"/>
    </row>
    <row r="4" spans="1:27" s="143" customFormat="1" ht="15" customHeight="1" thickTop="1" x14ac:dyDescent="0.25">
      <c r="A4" s="115"/>
      <c r="B4" s="424" t="str">
        <f>'Rose Iniziali'!B4</f>
        <v>VINCENZO</v>
      </c>
      <c r="C4" s="425"/>
      <c r="D4" s="426"/>
      <c r="E4" s="424" t="str">
        <f>'Rose Iniziali'!E4</f>
        <v>RICCARDO</v>
      </c>
      <c r="F4" s="425"/>
      <c r="G4" s="426"/>
      <c r="H4" s="424" t="str">
        <f>'Rose Iniziali'!H4</f>
        <v>DANIELE</v>
      </c>
      <c r="I4" s="425"/>
      <c r="J4" s="426"/>
      <c r="K4" s="424" t="str">
        <f>'Rose Iniziali'!K4</f>
        <v>DARIO</v>
      </c>
      <c r="L4" s="425"/>
      <c r="M4" s="426"/>
      <c r="N4" s="424" t="str">
        <f>'Rose Iniziali'!N4</f>
        <v>FABRIZIO</v>
      </c>
      <c r="O4" s="425"/>
      <c r="P4" s="426"/>
      <c r="Q4" s="424" t="str">
        <f>'Rose Iniziali'!Q4</f>
        <v>ENRICO</v>
      </c>
      <c r="R4" s="425"/>
      <c r="S4" s="426"/>
      <c r="T4" s="424" t="str">
        <f>'Rose Iniziali'!T4</f>
        <v>EUGENIO</v>
      </c>
      <c r="U4" s="425"/>
      <c r="V4" s="426"/>
      <c r="W4" s="424" t="str">
        <f>'Rose Iniziali'!W4</f>
        <v>MOLINA</v>
      </c>
      <c r="X4" s="425"/>
      <c r="Y4" s="426"/>
    </row>
    <row r="5" spans="1:27" s="143" customFormat="1" ht="15" customHeight="1" thickBot="1" x14ac:dyDescent="0.3">
      <c r="A5" s="115"/>
      <c r="B5" s="427"/>
      <c r="C5" s="428"/>
      <c r="D5" s="429"/>
      <c r="E5" s="427"/>
      <c r="F5" s="428"/>
      <c r="G5" s="429"/>
      <c r="H5" s="427"/>
      <c r="I5" s="428"/>
      <c r="J5" s="429"/>
      <c r="K5" s="427"/>
      <c r="L5" s="428"/>
      <c r="M5" s="429"/>
      <c r="N5" s="427"/>
      <c r="O5" s="428"/>
      <c r="P5" s="429"/>
      <c r="Q5" s="427"/>
      <c r="R5" s="428"/>
      <c r="S5" s="429"/>
      <c r="T5" s="427"/>
      <c r="U5" s="428"/>
      <c r="V5" s="429"/>
      <c r="W5" s="427"/>
      <c r="X5" s="428"/>
      <c r="Y5" s="429"/>
    </row>
    <row r="6" spans="1:27" s="143" customFormat="1" ht="17.25" customHeight="1" thickTop="1" thickBot="1" x14ac:dyDescent="0.3">
      <c r="A6" s="210" t="s">
        <v>43</v>
      </c>
      <c r="B6" s="214">
        <f>$A$55+B3</f>
        <v>406</v>
      </c>
      <c r="C6" s="319" t="s">
        <v>247</v>
      </c>
      <c r="D6" s="215" t="s">
        <v>34</v>
      </c>
      <c r="E6" s="214">
        <f>$A$55+E3</f>
        <v>405</v>
      </c>
      <c r="F6" s="319" t="s">
        <v>247</v>
      </c>
      <c r="G6" s="215" t="s">
        <v>34</v>
      </c>
      <c r="H6" s="214">
        <f>$A$55+H3</f>
        <v>443</v>
      </c>
      <c r="I6" s="319" t="s">
        <v>247</v>
      </c>
      <c r="J6" s="215" t="s">
        <v>34</v>
      </c>
      <c r="K6" s="214">
        <f>$A$55+K3</f>
        <v>348</v>
      </c>
      <c r="L6" s="319" t="s">
        <v>247</v>
      </c>
      <c r="M6" s="215" t="s">
        <v>34</v>
      </c>
      <c r="N6" s="214">
        <f>$A$55+N3</f>
        <v>317</v>
      </c>
      <c r="O6" s="319" t="s">
        <v>247</v>
      </c>
      <c r="P6" s="215" t="s">
        <v>34</v>
      </c>
      <c r="Q6" s="214">
        <f>$A$55+Q3</f>
        <v>380</v>
      </c>
      <c r="R6" s="319" t="s">
        <v>247</v>
      </c>
      <c r="S6" s="215" t="s">
        <v>34</v>
      </c>
      <c r="T6" s="214">
        <f>$A$55+T3</f>
        <v>347</v>
      </c>
      <c r="U6" s="319" t="s">
        <v>247</v>
      </c>
      <c r="V6" s="215" t="s">
        <v>34</v>
      </c>
      <c r="W6" s="214">
        <f>$A$55+W3</f>
        <v>312</v>
      </c>
      <c r="X6" s="319" t="s">
        <v>247</v>
      </c>
      <c r="Y6" s="215" t="s">
        <v>34</v>
      </c>
      <c r="Z6" s="246"/>
    </row>
    <row r="7" spans="1:27" s="143" customFormat="1" ht="17.25" customHeight="1" thickBot="1" x14ac:dyDescent="0.3">
      <c r="A7" s="216"/>
      <c r="B7" s="217"/>
      <c r="C7" s="320"/>
      <c r="D7" s="218" t="s">
        <v>44</v>
      </c>
      <c r="E7" s="219"/>
      <c r="F7" s="321"/>
      <c r="G7" s="218" t="s">
        <v>44</v>
      </c>
      <c r="H7" s="219"/>
      <c r="I7" s="321"/>
      <c r="J7" s="218" t="s">
        <v>44</v>
      </c>
      <c r="K7" s="219"/>
      <c r="L7" s="321"/>
      <c r="M7" s="218" t="s">
        <v>44</v>
      </c>
      <c r="N7" s="219"/>
      <c r="O7" s="321"/>
      <c r="P7" s="218" t="s">
        <v>44</v>
      </c>
      <c r="Q7" s="219"/>
      <c r="R7" s="321"/>
      <c r="S7" s="218" t="s">
        <v>44</v>
      </c>
      <c r="T7" s="219"/>
      <c r="U7" s="321"/>
      <c r="V7" s="218" t="s">
        <v>44</v>
      </c>
      <c r="W7" s="219"/>
      <c r="X7" s="321"/>
      <c r="Y7" s="218" t="s">
        <v>44</v>
      </c>
    </row>
    <row r="8" spans="1:27" s="143" customFormat="1" ht="17.25" customHeight="1" thickTop="1" thickBot="1" x14ac:dyDescent="0.3">
      <c r="A8" s="220" t="s">
        <v>45</v>
      </c>
      <c r="B8" s="352" t="str">
        <f>'Rose Iniziali'!B8</f>
        <v>Meret</v>
      </c>
      <c r="C8" s="353">
        <f>'Rose Iniziali'!C8</f>
        <v>0</v>
      </c>
      <c r="D8" s="354">
        <f>'Rose Iniziali'!D8</f>
        <v>35</v>
      </c>
      <c r="E8" s="352" t="str">
        <f>'Rose Iniziali'!E8</f>
        <v>Butez</v>
      </c>
      <c r="F8" s="353">
        <f>'Rose Iniziali'!F8</f>
        <v>0</v>
      </c>
      <c r="G8" s="354">
        <f>'Rose Iniziali'!G8</f>
        <v>19</v>
      </c>
      <c r="H8" s="352" t="str">
        <f>'Rose Iniziali'!H8</f>
        <v>Falcone</v>
      </c>
      <c r="I8" s="353">
        <f>'Rose Iniziali'!I8</f>
        <v>0</v>
      </c>
      <c r="J8" s="354">
        <f>'Rose Iniziali'!J8</f>
        <v>2</v>
      </c>
      <c r="K8" s="352" t="str">
        <f>'Rose Iniziali'!K8</f>
        <v>Maignan</v>
      </c>
      <c r="L8" s="353">
        <f>'Rose Iniziali'!L8</f>
        <v>0</v>
      </c>
      <c r="M8" s="355">
        <f>'Rose Iniziali'!M8</f>
        <v>35</v>
      </c>
      <c r="N8" s="352" t="str">
        <f>'Rose Iniziali'!N8</f>
        <v>Carnesecchi</v>
      </c>
      <c r="O8" s="353">
        <f>'Rose Iniziali'!O8</f>
        <v>0</v>
      </c>
      <c r="P8" s="355">
        <f>'Rose Iniziali'!P8</f>
        <v>30</v>
      </c>
      <c r="Q8" s="352" t="str">
        <f>'Rose Iniziali'!Q8</f>
        <v>Svilar</v>
      </c>
      <c r="R8" s="353">
        <f>'Rose Iniziali'!R8</f>
        <v>0</v>
      </c>
      <c r="S8" s="354">
        <f>'Rose Iniziali'!S8</f>
        <v>36</v>
      </c>
      <c r="T8" s="356" t="str">
        <f>'Rose Iniziali'!T8</f>
        <v>Palmisani</v>
      </c>
      <c r="U8" s="357">
        <f>'Rose Iniziali'!U8</f>
        <v>0</v>
      </c>
      <c r="V8" s="354">
        <f>'Rose Iniziali'!V8</f>
        <v>1</v>
      </c>
      <c r="W8" s="352" t="str">
        <f>'Rose Iniziali'!W8</f>
        <v>Vicario</v>
      </c>
      <c r="X8" s="353">
        <f>'Rose Iniziali'!X8</f>
        <v>0</v>
      </c>
      <c r="Y8" s="355">
        <f>'Rose Iniziali'!Y8</f>
        <v>22</v>
      </c>
    </row>
    <row r="9" spans="1:27" s="143" customFormat="1" ht="17.25" customHeight="1" x14ac:dyDescent="0.25">
      <c r="A9" s="221"/>
      <c r="B9" s="358" t="str">
        <f>'Rose Iniziali'!B9</f>
        <v>Milinkovic-Savic V.</v>
      </c>
      <c r="C9" s="353">
        <f>'Rose Iniziali'!C9</f>
        <v>0</v>
      </c>
      <c r="D9" s="359">
        <f>'Rose Iniziali'!D9</f>
        <v>1</v>
      </c>
      <c r="E9" s="358" t="str">
        <f>'Rose Iniziali'!E9</f>
        <v>Sanchez Ro.</v>
      </c>
      <c r="F9" s="353">
        <f>'Rose Iniziali'!F9</f>
        <v>0</v>
      </c>
      <c r="G9" s="359">
        <f>'Rose Iniziali'!G9</f>
        <v>1</v>
      </c>
      <c r="H9" s="358" t="str">
        <f>'Rose Iniziali'!H9</f>
        <v>Martinez Jo.</v>
      </c>
      <c r="I9" s="353">
        <f>'Rose Iniziali'!I9</f>
        <v>0</v>
      </c>
      <c r="J9" s="359">
        <f>'Rose Iniziali'!J9</f>
        <v>29</v>
      </c>
      <c r="K9" s="358" t="str">
        <f>'Rose Iniziali'!K9</f>
        <v>Torriani</v>
      </c>
      <c r="L9" s="353">
        <f>'Rose Iniziali'!L9</f>
        <v>0</v>
      </c>
      <c r="M9" s="360">
        <f>'Rose Iniziali'!M9</f>
        <v>1</v>
      </c>
      <c r="N9" s="358" t="str">
        <f>'Rose Iniziali'!N9</f>
        <v>Skorupski</v>
      </c>
      <c r="O9" s="353">
        <f>'Rose Iniziali'!O9</f>
        <v>0</v>
      </c>
      <c r="P9" s="362">
        <f>'Rose Iniziali'!P9</f>
        <v>1</v>
      </c>
      <c r="Q9" s="358" t="str">
        <f>'Rose Iniziali'!Q9</f>
        <v>gollini</v>
      </c>
      <c r="R9" s="353">
        <f>'Rose Iniziali'!R9</f>
        <v>0</v>
      </c>
      <c r="S9" s="359">
        <f>'Rose Iniziali'!S9</f>
        <v>1</v>
      </c>
      <c r="T9" s="361" t="str">
        <f>'Rose Iniziali'!T9</f>
        <v>Mandas</v>
      </c>
      <c r="U9" s="357">
        <f>'Rose Iniziali'!U9</f>
        <v>0</v>
      </c>
      <c r="V9" s="359">
        <f>'Rose Iniziali'!V9</f>
        <v>20</v>
      </c>
      <c r="W9" s="358" t="str">
        <f>'Rose Iniziali'!W9</f>
        <v>Grabara</v>
      </c>
      <c r="X9" s="353">
        <f>'Rose Iniziali'!X9</f>
        <v>0</v>
      </c>
      <c r="Y9" s="360">
        <f>'Rose Iniziali'!Y9</f>
        <v>1</v>
      </c>
    </row>
    <row r="10" spans="1:27" s="143" customFormat="1" ht="17.25" customHeight="1" x14ac:dyDescent="0.25">
      <c r="A10" s="222"/>
      <c r="B10" s="358" t="str">
        <f>'Rose Iniziali'!B10</f>
        <v>Muric</v>
      </c>
      <c r="C10" s="353">
        <f>'Rose Iniziali'!C10</f>
        <v>0</v>
      </c>
      <c r="D10" s="359">
        <f>'Rose Iniziali'!D10</f>
        <v>1</v>
      </c>
      <c r="E10" s="358" t="str">
        <f>'Rose Iniziali'!E10</f>
        <v>Caprile</v>
      </c>
      <c r="F10" s="353">
        <f>'Rose Iniziali'!F10</f>
        <v>0</v>
      </c>
      <c r="G10" s="359">
        <f>'Rose Iniziali'!G10</f>
        <v>1</v>
      </c>
      <c r="H10" s="358" t="str">
        <f>'Rose Iniziali'!H10</f>
        <v>provedel</v>
      </c>
      <c r="I10" s="353">
        <f>'Rose Iniziali'!I10</f>
        <v>0</v>
      </c>
      <c r="J10" s="359">
        <f>'Rose Iniziali'!J10</f>
        <v>3</v>
      </c>
      <c r="K10" s="358" t="str">
        <f>'Rose Iniziali'!K10</f>
        <v>de gea</v>
      </c>
      <c r="L10" s="353">
        <f>'Rose Iniziali'!L10</f>
        <v>0</v>
      </c>
      <c r="M10" s="360">
        <f>'Rose Iniziali'!M10</f>
        <v>1</v>
      </c>
      <c r="N10" s="358" t="str">
        <f>'Rose Iniziali'!N10</f>
        <v>sportiello</v>
      </c>
      <c r="O10" s="353">
        <f>'Rose Iniziali'!O10</f>
        <v>0</v>
      </c>
      <c r="P10" s="362">
        <f>'Rose Iniziali'!P10</f>
        <v>1</v>
      </c>
      <c r="Q10" s="358" t="str">
        <f>'Rose Iniziali'!Q10</f>
        <v>perri</v>
      </c>
      <c r="R10" s="353">
        <f>'Rose Iniziali'!R10</f>
        <v>0</v>
      </c>
      <c r="S10" s="359">
        <f>'Rose Iniziali'!S10</f>
        <v>1</v>
      </c>
      <c r="T10" s="361" t="str">
        <f>'Rose Iniziali'!T10</f>
        <v>Motta</v>
      </c>
      <c r="U10" s="357">
        <f>'Rose Iniziali'!U10</f>
        <v>0</v>
      </c>
      <c r="V10" s="359">
        <f>'Rose Iniziali'!V10</f>
        <v>1</v>
      </c>
      <c r="W10" s="358" t="str">
        <f>'Rose Iniziali'!W10</f>
        <v>Okoye</v>
      </c>
      <c r="X10" s="353">
        <f>'Rose Iniziali'!X10</f>
        <v>0</v>
      </c>
      <c r="Y10" s="360">
        <f>'Rose Iniziali'!Y10</f>
        <v>2</v>
      </c>
    </row>
    <row r="11" spans="1:27" s="143" customFormat="1" ht="17.25" customHeight="1" x14ac:dyDescent="0.25">
      <c r="A11" s="222"/>
      <c r="B11" s="367"/>
      <c r="C11" s="363"/>
      <c r="D11" s="387"/>
      <c r="E11" s="365"/>
      <c r="F11" s="364"/>
      <c r="G11" s="387"/>
      <c r="H11" s="385"/>
      <c r="I11" s="386"/>
      <c r="J11" s="395"/>
      <c r="K11" s="365"/>
      <c r="L11" s="364"/>
      <c r="M11" s="388"/>
      <c r="N11" s="385"/>
      <c r="O11" s="386"/>
      <c r="P11" s="395"/>
      <c r="Q11" s="365"/>
      <c r="R11" s="364"/>
      <c r="S11" s="388"/>
      <c r="T11" s="367"/>
      <c r="U11" s="363"/>
      <c r="V11" s="387"/>
      <c r="W11" s="365"/>
      <c r="X11" s="364"/>
      <c r="Y11" s="388"/>
    </row>
    <row r="12" spans="1:27" s="143" customFormat="1" ht="17.25" customHeight="1" x14ac:dyDescent="0.25">
      <c r="A12" s="222"/>
      <c r="B12" s="367"/>
      <c r="C12" s="363"/>
      <c r="D12" s="387"/>
      <c r="E12" s="365"/>
      <c r="F12" s="364"/>
      <c r="G12" s="387"/>
      <c r="H12" s="365"/>
      <c r="I12" s="364"/>
      <c r="J12" s="388"/>
      <c r="K12" s="365"/>
      <c r="L12" s="364"/>
      <c r="M12" s="388"/>
      <c r="N12" s="365"/>
      <c r="O12" s="364"/>
      <c r="P12" s="388"/>
      <c r="Q12" s="365"/>
      <c r="R12" s="364"/>
      <c r="S12" s="388"/>
      <c r="T12" s="367"/>
      <c r="U12" s="363"/>
      <c r="V12" s="387"/>
      <c r="W12" s="365"/>
      <c r="X12" s="364"/>
      <c r="Y12" s="388"/>
      <c r="AA12" s="247"/>
    </row>
    <row r="13" spans="1:27" s="143" customFormat="1" ht="17.25" customHeight="1" thickBot="1" x14ac:dyDescent="0.3">
      <c r="A13" s="223"/>
      <c r="B13" s="368"/>
      <c r="C13" s="369"/>
      <c r="D13" s="389"/>
      <c r="E13" s="370"/>
      <c r="F13" s="371"/>
      <c r="G13" s="389"/>
      <c r="H13" s="370"/>
      <c r="I13" s="371"/>
      <c r="J13" s="390"/>
      <c r="K13" s="370"/>
      <c r="L13" s="371"/>
      <c r="M13" s="390"/>
      <c r="N13" s="370"/>
      <c r="O13" s="371"/>
      <c r="P13" s="390"/>
      <c r="Q13" s="370"/>
      <c r="R13" s="371"/>
      <c r="S13" s="390"/>
      <c r="T13" s="368"/>
      <c r="U13" s="369"/>
      <c r="V13" s="389"/>
      <c r="W13" s="370"/>
      <c r="X13" s="371"/>
      <c r="Y13" s="390"/>
    </row>
    <row r="14" spans="1:27" s="143" customFormat="1" ht="17.25" customHeight="1" thickTop="1" thickBot="1" x14ac:dyDescent="0.3">
      <c r="A14" s="220" t="s">
        <v>46</v>
      </c>
      <c r="B14" s="358" t="str">
        <f>'Rose Iniziali'!B11</f>
        <v>Hermoso</v>
      </c>
      <c r="C14" s="353">
        <f>'Rose Iniziali'!C11</f>
        <v>0</v>
      </c>
      <c r="D14" s="359">
        <f>'Rose Iniziali'!D11</f>
        <v>2</v>
      </c>
      <c r="E14" s="358" t="str">
        <f>'Rose Iniziali'!E11</f>
        <v>N'dicka</v>
      </c>
      <c r="F14" s="353">
        <f>'Rose Iniziali'!F11</f>
        <v>0</v>
      </c>
      <c r="G14" s="359">
        <f>'Rose Iniziali'!G11</f>
        <v>5</v>
      </c>
      <c r="H14" s="358" t="str">
        <f>'Rose Iniziali'!H11</f>
        <v>Bremer</v>
      </c>
      <c r="I14" s="353">
        <f>'Rose Iniziali'!I11</f>
        <v>0</v>
      </c>
      <c r="J14" s="366">
        <f>'Rose Iniziali'!J11</f>
        <v>3</v>
      </c>
      <c r="K14" s="358" t="str">
        <f>'Rose Iniziali'!K11</f>
        <v>Bissk</v>
      </c>
      <c r="L14" s="353" t="str">
        <f>'Rose Iniziali'!L11</f>
        <v>int.</v>
      </c>
      <c r="M14" s="360">
        <f>'Rose Iniziali'!M11</f>
        <v>1</v>
      </c>
      <c r="N14" s="358" t="str">
        <f>'Rose Iniziali'!N11</f>
        <v>Solet</v>
      </c>
      <c r="O14" s="353">
        <f>'Rose Iniziali'!O11</f>
        <v>0</v>
      </c>
      <c r="P14" s="360">
        <f>'Rose Iniziali'!P11</f>
        <v>1</v>
      </c>
      <c r="Q14" s="380" t="str">
        <f>'Rose Iniziali'!Q11</f>
        <v>di marco</v>
      </c>
      <c r="R14" s="381">
        <f>'Rose Iniziali'!R11</f>
        <v>0</v>
      </c>
      <c r="S14" s="382">
        <f>'Rose Iniziali'!S11</f>
        <v>26</v>
      </c>
      <c r="T14" s="358" t="str">
        <f>'Rose Iniziali'!T11</f>
        <v>Mussolini</v>
      </c>
      <c r="U14" s="353" t="str">
        <f>'Rose Iniziali'!U11</f>
        <v>Laz.</v>
      </c>
      <c r="V14" s="360">
        <f>'Rose Iniziali'!V11</f>
        <v>1</v>
      </c>
      <c r="W14" s="358" t="str">
        <f>'Rose Iniziali'!W11</f>
        <v>Valeri</v>
      </c>
      <c r="X14" s="353">
        <f>'Rose Iniziali'!X11</f>
        <v>0</v>
      </c>
      <c r="Y14" s="362">
        <f>'Rose Iniziali'!Y11</f>
        <v>1</v>
      </c>
    </row>
    <row r="15" spans="1:27" s="143" customFormat="1" ht="17.25" customHeight="1" x14ac:dyDescent="0.25">
      <c r="A15" s="221"/>
      <c r="B15" s="358" t="str">
        <f>'Rose Iniziali'!B12</f>
        <v>comuzzo</v>
      </c>
      <c r="C15" s="353">
        <f>'Rose Iniziali'!C12</f>
        <v>0</v>
      </c>
      <c r="D15" s="362">
        <f>'Rose Iniziali'!D12</f>
        <v>2</v>
      </c>
      <c r="E15" s="358" t="str">
        <f>'Rose Iniziali'!E12</f>
        <v>pavlovic</v>
      </c>
      <c r="F15" s="353">
        <f>'Rose Iniziali'!F12</f>
        <v>0</v>
      </c>
      <c r="G15" s="362">
        <f>'Rose Iniziali'!G12</f>
        <v>8</v>
      </c>
      <c r="H15" s="358" t="str">
        <f>'Rose Iniziali'!H12</f>
        <v>kalulu</v>
      </c>
      <c r="I15" s="353">
        <f>'Rose Iniziali'!I12</f>
        <v>0</v>
      </c>
      <c r="J15" s="362">
        <f>'Rose Iniziali'!J12</f>
        <v>4</v>
      </c>
      <c r="K15" s="358" t="str">
        <f>'Rose Iniziali'!K12</f>
        <v>Molina</v>
      </c>
      <c r="L15" s="353">
        <f>'Rose Iniziali'!L12</f>
        <v>0</v>
      </c>
      <c r="M15" s="362">
        <f>'Rose Iniziali'!M12</f>
        <v>10</v>
      </c>
      <c r="N15" s="358" t="str">
        <f>'Rose Iniziali'!N19</f>
        <v>fazzini</v>
      </c>
      <c r="O15" s="353">
        <f>'Rose Iniziali'!O19</f>
        <v>0</v>
      </c>
      <c r="P15" s="362">
        <f>'Rose Iniziali'!P19</f>
        <v>1</v>
      </c>
      <c r="Q15" s="358" t="str">
        <f>'Rose Iniziali'!Q12</f>
        <v>Bragaglia</v>
      </c>
      <c r="R15" s="353">
        <f>'Rose Iniziali'!R12</f>
        <v>0</v>
      </c>
      <c r="S15" s="362">
        <f>'Rose Iniziali'!S12</f>
        <v>1</v>
      </c>
      <c r="T15" s="358" t="str">
        <f>'Rose Iniziali'!T12</f>
        <v>doig</v>
      </c>
      <c r="U15" s="353">
        <f>'Rose Iniziali'!U12</f>
        <v>0</v>
      </c>
      <c r="V15" s="362">
        <f>'Rose Iniziali'!V12</f>
        <v>1</v>
      </c>
      <c r="W15" s="358" t="str">
        <f>'Rose Iniziali'!W12</f>
        <v>lucumi</v>
      </c>
      <c r="X15" s="353">
        <f>'Rose Iniziali'!X12</f>
        <v>0</v>
      </c>
      <c r="Y15" s="362">
        <f>'Rose Iniziali'!Y12</f>
        <v>1</v>
      </c>
    </row>
    <row r="16" spans="1:27" s="143" customFormat="1" ht="17.25" customHeight="1" x14ac:dyDescent="0.25">
      <c r="A16" s="221"/>
      <c r="B16" s="358" t="str">
        <f>'Rose Iniziali'!B13</f>
        <v>Ramon</v>
      </c>
      <c r="C16" s="353">
        <f>'Rose Iniziali'!C13</f>
        <v>0</v>
      </c>
      <c r="D16" s="362">
        <f>'Rose Iniziali'!D13</f>
        <v>6</v>
      </c>
      <c r="E16" s="358" t="str">
        <f>'Rose Iniziali'!E13</f>
        <v>Di lorenzo</v>
      </c>
      <c r="F16" s="353">
        <f>'Rose Iniziali'!F13</f>
        <v>0</v>
      </c>
      <c r="G16" s="362">
        <f>'Rose Iniziali'!G13</f>
        <v>6</v>
      </c>
      <c r="H16" s="358" t="str">
        <f>'Rose Iniziali'!H13</f>
        <v>Wesley</v>
      </c>
      <c r="I16" s="353" t="str">
        <f>'Rose Iniziali'!I13</f>
        <v>Rom</v>
      </c>
      <c r="J16" s="362">
        <f>'Rose Iniziali'!J13</f>
        <v>10</v>
      </c>
      <c r="K16" s="358" t="str">
        <f>'Rose Iniziali'!K13</f>
        <v>Ostilgard</v>
      </c>
      <c r="L16" s="353">
        <f>'Rose Iniziali'!L13</f>
        <v>0</v>
      </c>
      <c r="M16" s="362">
        <f>'Rose Iniziali'!M13</f>
        <v>6</v>
      </c>
      <c r="N16" s="358" t="str">
        <f>'Rose Iniziali'!N12</f>
        <v>Gila</v>
      </c>
      <c r="O16" s="353">
        <f>'Rose Iniziali'!O12</f>
        <v>0</v>
      </c>
      <c r="P16" s="362">
        <f>'Rose Iniziali'!P12</f>
        <v>3</v>
      </c>
      <c r="Q16" s="358" t="str">
        <f>'Rose Iniziali'!Q13</f>
        <v>Obert</v>
      </c>
      <c r="R16" s="353">
        <f>'Rose Iniziali'!R13</f>
        <v>0</v>
      </c>
      <c r="S16" s="362">
        <f>'Rose Iniziali'!S13</f>
        <v>1</v>
      </c>
      <c r="T16" s="358" t="str">
        <f>'Rose Iniziali'!T13</f>
        <v>zappacosta</v>
      </c>
      <c r="U16" s="353">
        <f>'Rose Iniziali'!U13</f>
        <v>0</v>
      </c>
      <c r="V16" s="362">
        <f>'Rose Iniziali'!V13</f>
        <v>2</v>
      </c>
      <c r="W16" s="358" t="str">
        <f>'Rose Iniziali'!W13</f>
        <v>Mina</v>
      </c>
      <c r="X16" s="353">
        <f>'Rose Iniziali'!X13</f>
        <v>0</v>
      </c>
      <c r="Y16" s="362">
        <f>'Rose Iniziali'!Y13</f>
        <v>1</v>
      </c>
    </row>
    <row r="17" spans="1:27" s="143" customFormat="1" ht="17.25" customHeight="1" x14ac:dyDescent="0.25">
      <c r="A17" s="221"/>
      <c r="B17" s="358" t="str">
        <f>'Rose Iniziali'!B14</f>
        <v>Beukema</v>
      </c>
      <c r="C17" s="353">
        <f>'Rose Iniziali'!C14</f>
        <v>0</v>
      </c>
      <c r="D17" s="362">
        <f>'Rose Iniziali'!D14</f>
        <v>1</v>
      </c>
      <c r="E17" s="358" t="str">
        <f>'Rose Iniziali'!E14</f>
        <v>Chalobah T.</v>
      </c>
      <c r="F17" s="353">
        <f>'Rose Iniziali'!F14</f>
        <v>0</v>
      </c>
      <c r="G17" s="362">
        <f>'Rose Iniziali'!G14</f>
        <v>6</v>
      </c>
      <c r="H17" s="358" t="str">
        <f>'Rose Iniziali'!H14</f>
        <v>Monterisi</v>
      </c>
      <c r="I17" s="353">
        <f>'Rose Iniziali'!I14</f>
        <v>0</v>
      </c>
      <c r="J17" s="362">
        <f>'Rose Iniziali'!J14</f>
        <v>1</v>
      </c>
      <c r="K17" s="358" t="str">
        <f>'Rose Iniziali'!K14</f>
        <v>Akanji</v>
      </c>
      <c r="L17" s="353">
        <f>'Rose Iniziali'!L14</f>
        <v>0</v>
      </c>
      <c r="M17" s="362">
        <f>'Rose Iniziali'!M14</f>
        <v>2</v>
      </c>
      <c r="N17" s="358" t="str">
        <f>'Rose Iniziali'!N14</f>
        <v>Holm</v>
      </c>
      <c r="O17" s="353">
        <f>'Rose Iniziali'!O14</f>
        <v>0</v>
      </c>
      <c r="P17" s="362">
        <f>'Rose Iniziali'!P14</f>
        <v>1</v>
      </c>
      <c r="Q17" s="358" t="str">
        <f>'Rose Iniziali'!Q14</f>
        <v>spinazzola</v>
      </c>
      <c r="R17" s="353">
        <f>'Rose Iniziali'!R14</f>
        <v>0</v>
      </c>
      <c r="S17" s="362">
        <f>'Rose Iniziali'!S14</f>
        <v>1</v>
      </c>
      <c r="T17" s="358" t="str">
        <f>'Rose Iniziali'!T14</f>
        <v>Kossounou</v>
      </c>
      <c r="U17" s="353">
        <f>'Rose Iniziali'!U14</f>
        <v>0</v>
      </c>
      <c r="V17" s="362">
        <f>'Rose Iniziali'!V14</f>
        <v>1</v>
      </c>
      <c r="W17" s="358" t="str">
        <f>'Rose Iniziali'!W14</f>
        <v>lulli</v>
      </c>
      <c r="X17" s="353">
        <f>'Rose Iniziali'!X14</f>
        <v>0</v>
      </c>
      <c r="Y17" s="362">
        <f>'Rose Iniziali'!Y14</f>
        <v>1</v>
      </c>
    </row>
    <row r="18" spans="1:27" s="143" customFormat="1" ht="17.25" customHeight="1" x14ac:dyDescent="0.25">
      <c r="A18" s="221"/>
      <c r="B18" s="358" t="str">
        <f>'Rose Iniziali'!B15</f>
        <v>Rrahmani</v>
      </c>
      <c r="C18" s="353">
        <f>'Rose Iniziali'!C15</f>
        <v>0</v>
      </c>
      <c r="D18" s="362">
        <f>'Rose Iniziali'!D15</f>
        <v>7</v>
      </c>
      <c r="E18" s="358" t="str">
        <f>'Rose Iniziali'!E15</f>
        <v>Mancini</v>
      </c>
      <c r="F18" s="353">
        <f>'Rose Iniziali'!F15</f>
        <v>0</v>
      </c>
      <c r="G18" s="362">
        <f>'Rose Iniziali'!G15</f>
        <v>9</v>
      </c>
      <c r="H18" s="358" t="str">
        <f>'Rose Iniziali'!H15</f>
        <v>Bastoni</v>
      </c>
      <c r="I18" s="353">
        <f>'Rose Iniziali'!I15</f>
        <v>0</v>
      </c>
      <c r="J18" s="362">
        <f>'Rose Iniziali'!J15</f>
        <v>8</v>
      </c>
      <c r="K18" s="358" t="str">
        <f>'Rose Iniziali'!K15</f>
        <v>Diego Carlos</v>
      </c>
      <c r="L18" s="353">
        <f>'Rose Iniziali'!L15</f>
        <v>0</v>
      </c>
      <c r="M18" s="362">
        <f>'Rose Iniziali'!M15</f>
        <v>1</v>
      </c>
      <c r="N18" s="358" t="str">
        <f>'Rose Iniziali'!N15</f>
        <v>Theate</v>
      </c>
      <c r="O18" s="353">
        <f>'Rose Iniziali'!O15</f>
        <v>0</v>
      </c>
      <c r="P18" s="362">
        <f>'Rose Iniziali'!P15</f>
        <v>1</v>
      </c>
      <c r="Q18" s="358" t="str">
        <f>'Rose Iniziali'!Q15</f>
        <v>gatti</v>
      </c>
      <c r="R18" s="353">
        <f>'Rose Iniziali'!R15</f>
        <v>0</v>
      </c>
      <c r="S18" s="362">
        <f>'Rose Iniziali'!S15</f>
        <v>2</v>
      </c>
      <c r="T18" s="358" t="str">
        <f>'Rose Iniziali'!T15</f>
        <v>Vojvoda</v>
      </c>
      <c r="U18" s="353">
        <f>'Rose Iniziali'!U15</f>
        <v>0</v>
      </c>
      <c r="V18" s="362">
        <f>'Rose Iniziali'!V15</f>
        <v>1</v>
      </c>
      <c r="W18" s="358" t="str">
        <f>'Rose Iniziali'!W15</f>
        <v>kelly</v>
      </c>
      <c r="X18" s="353">
        <f>'Rose Iniziali'!X15</f>
        <v>0</v>
      </c>
      <c r="Y18" s="362">
        <f>'Rose Iniziali'!Y15</f>
        <v>1</v>
      </c>
    </row>
    <row r="19" spans="1:27" s="143" customFormat="1" ht="17.25" customHeight="1" x14ac:dyDescent="0.25">
      <c r="A19" s="221"/>
      <c r="B19" s="358" t="str">
        <f>'Rose Iniziali'!B16</f>
        <v>scalvini</v>
      </c>
      <c r="C19" s="353">
        <f>'Rose Iniziali'!C16</f>
        <v>0</v>
      </c>
      <c r="D19" s="362">
        <f>'Rose Iniziali'!D16</f>
        <v>3</v>
      </c>
      <c r="E19" s="358" t="str">
        <f>'Rose Iniziali'!E16</f>
        <v>celik</v>
      </c>
      <c r="F19" s="353">
        <f>'Rose Iniziali'!F16</f>
        <v>0</v>
      </c>
      <c r="G19" s="362">
        <f>'Rose Iniziali'!G16</f>
        <v>1</v>
      </c>
      <c r="H19" s="358" t="str">
        <f>'Rose Iniziali'!H16</f>
        <v>Delprato</v>
      </c>
      <c r="I19" s="353">
        <f>'Rose Iniziali'!I16</f>
        <v>0</v>
      </c>
      <c r="J19" s="362">
        <f>'Rose Iniziali'!J16</f>
        <v>3</v>
      </c>
      <c r="K19" s="358" t="str">
        <f>'Rose Iniziali'!K16</f>
        <v>couto</v>
      </c>
      <c r="L19" s="353">
        <f>'Rose Iniziali'!L16</f>
        <v>0</v>
      </c>
      <c r="M19" s="362">
        <f>'Rose Iniziali'!M16</f>
        <v>1</v>
      </c>
      <c r="N19" s="358" t="str">
        <f>'Rose Iniziali'!N16</f>
        <v>joao mario</v>
      </c>
      <c r="O19" s="353">
        <f>'Rose Iniziali'!O16</f>
        <v>0</v>
      </c>
      <c r="P19" s="362">
        <f>'Rose Iniziali'!P16</f>
        <v>1</v>
      </c>
      <c r="Q19" s="358" t="str">
        <f>'Rose Iniziali'!Q16</f>
        <v>kolasinac</v>
      </c>
      <c r="R19" s="353" t="str">
        <f>'Rose Iniziali'!R16</f>
        <v>ata</v>
      </c>
      <c r="S19" s="362">
        <f>'Rose Iniziali'!S16</f>
        <v>1</v>
      </c>
      <c r="T19" s="358" t="str">
        <f>'Rose Iniziali'!T16</f>
        <v>Bellanova</v>
      </c>
      <c r="U19" s="353">
        <f>'Rose Iniziali'!U16</f>
        <v>0</v>
      </c>
      <c r="V19" s="362">
        <f>'Rose Iniziali'!V16</f>
        <v>1</v>
      </c>
      <c r="W19" s="358" t="str">
        <f>'Rose Iniziali'!W16</f>
        <v>carlos augusto</v>
      </c>
      <c r="X19" s="353">
        <f>'Rose Iniziali'!X16</f>
        <v>0</v>
      </c>
      <c r="Y19" s="362">
        <f>'Rose Iniziali'!Y16</f>
        <v>1</v>
      </c>
    </row>
    <row r="20" spans="1:27" s="143" customFormat="1" ht="17.25" customHeight="1" x14ac:dyDescent="0.35">
      <c r="A20" s="221"/>
      <c r="B20" s="358" t="str">
        <f>'Rose Iniziali'!B17</f>
        <v>Marin R.</v>
      </c>
      <c r="C20" s="353">
        <f>'Rose Iniziali'!C17</f>
        <v>0</v>
      </c>
      <c r="D20" s="362">
        <f>'Rose Iniziali'!D17</f>
        <v>1</v>
      </c>
      <c r="E20" s="358" t="str">
        <f>'Rose Iniziali'!E17</f>
        <v>Valle</v>
      </c>
      <c r="F20" s="353">
        <f>'Rose Iniziali'!F17</f>
        <v>0</v>
      </c>
      <c r="G20" s="362">
        <f>'Rose Iniziali'!G17</f>
        <v>1</v>
      </c>
      <c r="H20" s="358" t="str">
        <f>'Rose Iniziali'!H17</f>
        <v>Vasquez</v>
      </c>
      <c r="I20" s="353">
        <f>'Rose Iniziali'!I17</f>
        <v>0</v>
      </c>
      <c r="J20" s="362">
        <f>'Rose Iniziali'!J17</f>
        <v>1</v>
      </c>
      <c r="K20" s="358" t="str">
        <f>'Rose Iniziali'!K23</f>
        <v>McTominay</v>
      </c>
      <c r="L20" s="353">
        <f>'Rose Iniziali'!L23</f>
        <v>0</v>
      </c>
      <c r="M20" s="362">
        <f>'Rose Iniziali'!M23</f>
        <v>14</v>
      </c>
      <c r="N20" s="358" t="str">
        <f>'Rose Iniziali'!N17</f>
        <v>veiga</v>
      </c>
      <c r="O20" s="353" t="str">
        <f>'Rose Iniziali'!O17</f>
        <v>lec</v>
      </c>
      <c r="P20" s="362">
        <f>'Rose Iniziali'!P17</f>
        <v>1</v>
      </c>
      <c r="Q20" s="358" t="str">
        <f>'Rose Iniziali'!Q17</f>
        <v>Stones</v>
      </c>
      <c r="R20" s="353">
        <f>'Rose Iniziali'!R17</f>
        <v>0</v>
      </c>
      <c r="S20" s="362">
        <f>'Rose Iniziali'!S17</f>
        <v>1</v>
      </c>
      <c r="T20" s="358" t="str">
        <f>'Rose Iniziali'!T17</f>
        <v>sutalo</v>
      </c>
      <c r="U20" s="353">
        <f>'Rose Iniziali'!U17</f>
        <v>0</v>
      </c>
      <c r="V20" s="362">
        <f>'Rose Iniziali'!V17</f>
        <v>1</v>
      </c>
      <c r="W20" s="358" t="str">
        <f>'Rose Iniziali'!W17</f>
        <v>zorotea</v>
      </c>
      <c r="X20" s="353">
        <f>'Rose Iniziali'!X17</f>
        <v>0</v>
      </c>
      <c r="Y20" s="362">
        <f>'Rose Iniziali'!Y17</f>
        <v>1</v>
      </c>
      <c r="AA20" s="248"/>
    </row>
    <row r="21" spans="1:27" s="143" customFormat="1" ht="17.25" customHeight="1" x14ac:dyDescent="0.35">
      <c r="A21" s="221"/>
      <c r="B21" s="358" t="str">
        <f>'Rose Iniziali'!B18</f>
        <v>Dragusin</v>
      </c>
      <c r="C21" s="353">
        <f>'Rose Iniziali'!C18</f>
        <v>0</v>
      </c>
      <c r="D21" s="362">
        <f>'Rose Iniziali'!D18</f>
        <v>1</v>
      </c>
      <c r="E21" s="358" t="str">
        <f>'Rose Iniziali'!E18</f>
        <v>tomori</v>
      </c>
      <c r="F21" s="353">
        <f>'Rose Iniziali'!F18</f>
        <v>0</v>
      </c>
      <c r="G21" s="362">
        <f>'Rose Iniziali'!G18</f>
        <v>1</v>
      </c>
      <c r="H21" s="358" t="str">
        <f>'Rose Iniziali'!H18</f>
        <v>de winter</v>
      </c>
      <c r="I21" s="353">
        <f>'Rose Iniziali'!I18</f>
        <v>0</v>
      </c>
      <c r="J21" s="362">
        <f>'Rose Iniziali'!J18</f>
        <v>1</v>
      </c>
      <c r="K21" s="358" t="str">
        <f>'Rose Iniziali'!K18</f>
        <v>Balerdi</v>
      </c>
      <c r="L21" s="353">
        <f>'Rose Iniziali'!L18</f>
        <v>0</v>
      </c>
      <c r="M21" s="362">
        <f>'Rose Iniziali'!M18</f>
        <v>1</v>
      </c>
      <c r="N21" s="358" t="str">
        <f>'Rose Iniziali'!N18</f>
        <v>valdepenas</v>
      </c>
      <c r="O21" s="353" t="str">
        <f>'Rose Iniziali'!O18</f>
        <v>fio</v>
      </c>
      <c r="P21" s="362">
        <f>'Rose Iniziali'!P18</f>
        <v>1</v>
      </c>
      <c r="Q21" s="358" t="str">
        <f>'Rose Iniziali'!Q18</f>
        <v>bartesaghi</v>
      </c>
      <c r="R21" s="353">
        <f>'Rose Iniziali'!R18</f>
        <v>0</v>
      </c>
      <c r="S21" s="362">
        <f>'Rose Iniziali'!S18</f>
        <v>1</v>
      </c>
      <c r="T21" s="358" t="str">
        <f>'Rose Iniziali'!T18</f>
        <v>Tavares N</v>
      </c>
      <c r="U21" s="353">
        <f>'Rose Iniziali'!U18</f>
        <v>0</v>
      </c>
      <c r="V21" s="362">
        <f>'Rose Iniziali'!V18</f>
        <v>1</v>
      </c>
      <c r="W21" s="358" t="str">
        <f>'Rose Iniziali'!W18</f>
        <v>kamara</v>
      </c>
      <c r="X21" s="353">
        <f>'Rose Iniziali'!X18</f>
        <v>0</v>
      </c>
      <c r="Y21" s="362">
        <f>'Rose Iniziali'!Y18</f>
        <v>1</v>
      </c>
      <c r="AA21" s="248"/>
    </row>
    <row r="22" spans="1:27" s="143" customFormat="1" ht="17.25" customHeight="1" x14ac:dyDescent="0.35">
      <c r="A22" s="221"/>
      <c r="B22" s="358"/>
      <c r="C22" s="353"/>
      <c r="D22" s="391"/>
      <c r="E22" s="358"/>
      <c r="F22" s="353"/>
      <c r="G22" s="391"/>
      <c r="H22" s="372"/>
      <c r="I22" s="373"/>
      <c r="J22" s="393"/>
      <c r="K22" s="372"/>
      <c r="L22" s="373"/>
      <c r="M22" s="393"/>
      <c r="N22" s="358"/>
      <c r="O22" s="353"/>
      <c r="P22" s="392"/>
      <c r="Q22" s="375"/>
      <c r="R22" s="376"/>
      <c r="S22" s="398"/>
      <c r="T22" s="375"/>
      <c r="U22" s="376"/>
      <c r="V22" s="398"/>
      <c r="W22" s="373"/>
      <c r="X22" s="373"/>
      <c r="Y22" s="393"/>
      <c r="AA22" s="248"/>
    </row>
    <row r="23" spans="1:27" s="143" customFormat="1" ht="17.25" customHeight="1" x14ac:dyDescent="0.35">
      <c r="A23" s="221"/>
      <c r="B23" s="367"/>
      <c r="C23" s="363"/>
      <c r="D23" s="387"/>
      <c r="E23" s="365"/>
      <c r="F23" s="364"/>
      <c r="G23" s="387"/>
      <c r="H23" s="383"/>
      <c r="I23" s="384"/>
      <c r="J23" s="394"/>
      <c r="K23" s="367"/>
      <c r="L23" s="363"/>
      <c r="M23" s="387"/>
      <c r="N23" s="365"/>
      <c r="O23" s="364"/>
      <c r="P23" s="388"/>
      <c r="Q23" s="365"/>
      <c r="R23" s="364"/>
      <c r="S23" s="388"/>
      <c r="T23" s="367"/>
      <c r="U23" s="363"/>
      <c r="V23" s="387"/>
      <c r="W23" s="373"/>
      <c r="X23" s="373"/>
      <c r="Y23" s="393"/>
      <c r="AA23" s="248"/>
    </row>
    <row r="24" spans="1:27" s="143" customFormat="1" ht="17.25" customHeight="1" x14ac:dyDescent="0.35">
      <c r="A24" s="221"/>
      <c r="B24" s="367"/>
      <c r="C24" s="363"/>
      <c r="D24" s="387"/>
      <c r="E24" s="365"/>
      <c r="F24" s="364"/>
      <c r="G24" s="387"/>
      <c r="H24" s="385"/>
      <c r="I24" s="386"/>
      <c r="J24" s="395"/>
      <c r="K24" s="365"/>
      <c r="L24" s="364"/>
      <c r="M24" s="388"/>
      <c r="N24" s="365"/>
      <c r="O24" s="364"/>
      <c r="P24" s="388"/>
      <c r="Q24" s="365"/>
      <c r="R24" s="364"/>
      <c r="S24" s="388"/>
      <c r="T24" s="367"/>
      <c r="U24" s="363"/>
      <c r="V24" s="387"/>
      <c r="W24" s="365"/>
      <c r="X24" s="364"/>
      <c r="Y24" s="388"/>
      <c r="Z24" s="196"/>
      <c r="AA24" s="248"/>
    </row>
    <row r="25" spans="1:27" s="143" customFormat="1" ht="17.25" customHeight="1" x14ac:dyDescent="0.35">
      <c r="A25" s="221"/>
      <c r="B25" s="367"/>
      <c r="C25" s="363"/>
      <c r="D25" s="387"/>
      <c r="E25" s="365"/>
      <c r="F25" s="364"/>
      <c r="G25" s="387"/>
      <c r="H25" s="365"/>
      <c r="I25" s="364"/>
      <c r="J25" s="388"/>
      <c r="K25" s="365"/>
      <c r="L25" s="364"/>
      <c r="M25" s="388"/>
      <c r="N25" s="365"/>
      <c r="O25" s="364"/>
      <c r="P25" s="388"/>
      <c r="Q25" s="365"/>
      <c r="R25" s="364"/>
      <c r="S25" s="388"/>
      <c r="T25" s="367"/>
      <c r="U25" s="363"/>
      <c r="V25" s="387"/>
      <c r="W25" s="365"/>
      <c r="X25" s="364"/>
      <c r="Y25" s="388"/>
      <c r="AA25" s="248"/>
    </row>
    <row r="26" spans="1:27" s="143" customFormat="1" ht="17.25" customHeight="1" thickBot="1" x14ac:dyDescent="0.4">
      <c r="A26" s="224"/>
      <c r="B26" s="368"/>
      <c r="C26" s="369"/>
      <c r="D26" s="389"/>
      <c r="E26" s="370"/>
      <c r="F26" s="371"/>
      <c r="G26" s="389"/>
      <c r="H26" s="370"/>
      <c r="I26" s="371"/>
      <c r="J26" s="390"/>
      <c r="K26" s="370"/>
      <c r="L26" s="371"/>
      <c r="M26" s="390"/>
      <c r="N26" s="370"/>
      <c r="O26" s="371"/>
      <c r="P26" s="390"/>
      <c r="Q26" s="370"/>
      <c r="R26" s="371"/>
      <c r="S26" s="390"/>
      <c r="T26" s="368"/>
      <c r="U26" s="369"/>
      <c r="V26" s="389"/>
      <c r="W26" s="370"/>
      <c r="X26" s="371"/>
      <c r="Y26" s="390"/>
      <c r="AA26" s="248"/>
    </row>
    <row r="27" spans="1:27" s="143" customFormat="1" ht="17.25" customHeight="1" thickTop="1" thickBot="1" x14ac:dyDescent="0.4">
      <c r="A27" s="220" t="s">
        <v>47</v>
      </c>
      <c r="B27" s="358" t="str">
        <f>'Rose Iniziali'!B19</f>
        <v>de bruin</v>
      </c>
      <c r="C27" s="353">
        <f>'Rose Iniziali'!C19</f>
        <v>0</v>
      </c>
      <c r="D27" s="359">
        <f>'Rose Iniziali'!D19</f>
        <v>36</v>
      </c>
      <c r="E27" s="358" t="str">
        <f>'Rose Iniziali'!E19</f>
        <v>kone</v>
      </c>
      <c r="F27" s="353">
        <f>'Rose Iniziali'!F19</f>
        <v>0</v>
      </c>
      <c r="G27" s="359">
        <f>'Rose Iniziali'!G19</f>
        <v>15</v>
      </c>
      <c r="H27" s="358" t="str">
        <f>'Rose Iniziali'!H19</f>
        <v>rovella</v>
      </c>
      <c r="I27" s="353">
        <f>'Rose Iniziali'!I19</f>
        <v>0</v>
      </c>
      <c r="J27" s="360">
        <f>'Rose Iniziali'!J19</f>
        <v>2</v>
      </c>
      <c r="K27" s="358" t="str">
        <f>'Rose Iniziali'!K19</f>
        <v>Ederson</v>
      </c>
      <c r="L27" s="353" t="str">
        <f>'Rose Iniziali'!L19</f>
        <v>ata</v>
      </c>
      <c r="M27" s="359">
        <f>'Rose Iniziali'!M19</f>
        <v>1</v>
      </c>
      <c r="N27" s="358" t="e">
        <f>'Rose Iniziali'!#REF!</f>
        <v>#REF!</v>
      </c>
      <c r="O27" s="353" t="e">
        <f>'Rose Iniziali'!#REF!</f>
        <v>#REF!</v>
      </c>
      <c r="P27" s="360" t="e">
        <f>'Rose Iniziali'!#REF!</f>
        <v>#REF!</v>
      </c>
      <c r="Q27" s="358" t="str">
        <f>'Rose Iniziali'!Q19</f>
        <v>mandragora</v>
      </c>
      <c r="R27" s="353">
        <f>'Rose Iniziali'!R19</f>
        <v>0</v>
      </c>
      <c r="S27" s="360">
        <f>'Rose Iniziali'!S19</f>
        <v>2</v>
      </c>
      <c r="T27" s="377" t="str">
        <f>'Rose Iniziali'!T19</f>
        <v>Calhanoglu</v>
      </c>
      <c r="U27" s="378" t="str">
        <f>'Rose Iniziali'!U19</f>
        <v>Int</v>
      </c>
      <c r="V27" s="360">
        <f>'Rose Iniziali'!V19</f>
        <v>16</v>
      </c>
      <c r="W27" s="358" t="str">
        <f>'Rose Iniziali'!W19</f>
        <v>anguissa</v>
      </c>
      <c r="X27" s="353">
        <f>'Rose Iniziali'!X19</f>
        <v>0</v>
      </c>
      <c r="Y27" s="360">
        <f>'Rose Iniziali'!Y19</f>
        <v>2</v>
      </c>
      <c r="AA27" s="248"/>
    </row>
    <row r="28" spans="1:27" s="143" customFormat="1" ht="17.25" customHeight="1" x14ac:dyDescent="0.35">
      <c r="A28" s="221"/>
      <c r="B28" s="358" t="str">
        <f>'Rose Iniziali'!B20</f>
        <v>mcKanny</v>
      </c>
      <c r="C28" s="353">
        <f>'Rose Iniziali'!C20</f>
        <v>0</v>
      </c>
      <c r="D28" s="359">
        <f>'Rose Iniziali'!D20</f>
        <v>4</v>
      </c>
      <c r="E28" s="358" t="str">
        <f>'Rose Iniziali'!E20</f>
        <v>pisilli</v>
      </c>
      <c r="F28" s="353">
        <f>'Rose Iniziali'!F20</f>
        <v>0</v>
      </c>
      <c r="G28" s="359">
        <f>'Rose Iniziali'!G20</f>
        <v>1</v>
      </c>
      <c r="H28" s="361" t="str">
        <f>'Rose Iniziali'!H20</f>
        <v>Cristante</v>
      </c>
      <c r="I28" s="357">
        <f>'Rose Iniziali'!I20</f>
        <v>0</v>
      </c>
      <c r="J28" s="359">
        <f>'Rose Iniziali'!J20</f>
        <v>3</v>
      </c>
      <c r="K28" s="358" t="str">
        <f>'Rose Iniziali'!K20</f>
        <v>locatelli</v>
      </c>
      <c r="L28" s="353" t="str">
        <f>'Rose Iniziali'!L20</f>
        <v>juv</v>
      </c>
      <c r="M28" s="360">
        <f>'Rose Iniziali'!M20</f>
        <v>1</v>
      </c>
      <c r="N28" s="358" t="str">
        <f>'Rose Iniziali'!N20</f>
        <v>atta</v>
      </c>
      <c r="O28" s="353">
        <f>'Rose Iniziali'!O20</f>
        <v>0</v>
      </c>
      <c r="P28" s="360">
        <f>'Rose Iniziali'!P20</f>
        <v>1</v>
      </c>
      <c r="Q28" s="358" t="str">
        <f>'Rose Iniziali'!Q20</f>
        <v>Teylor</v>
      </c>
      <c r="R28" s="353">
        <f>'Rose Iniziali'!R20</f>
        <v>0</v>
      </c>
      <c r="S28" s="360">
        <f>'Rose Iniziali'!S20</f>
        <v>9</v>
      </c>
      <c r="T28" s="361" t="str">
        <f>'Rose Iniziali'!T20</f>
        <v>Nico Paz</v>
      </c>
      <c r="U28" s="357" t="str">
        <f>'Rose Iniziali'!U20</f>
        <v>Com.</v>
      </c>
      <c r="V28" s="359">
        <f>'Rose Iniziali'!V20</f>
        <v>46</v>
      </c>
      <c r="W28" s="361" t="str">
        <f>'Rose Iniziali'!W20</f>
        <v>barella</v>
      </c>
      <c r="X28" s="353">
        <f>'Rose Iniziali'!X20</f>
        <v>0</v>
      </c>
      <c r="Y28" s="359">
        <f>'Rose Iniziali'!Y20</f>
        <v>2</v>
      </c>
      <c r="AA28" s="248"/>
    </row>
    <row r="29" spans="1:27" s="143" customFormat="1" ht="17.25" customHeight="1" x14ac:dyDescent="0.35">
      <c r="A29" s="221"/>
      <c r="B29" s="358" t="str">
        <f>'Rose Iniziali'!B21</f>
        <v>Ekkelenkamp</v>
      </c>
      <c r="C29" s="353">
        <f>'Rose Iniziali'!C21</f>
        <v>0</v>
      </c>
      <c r="D29" s="359">
        <f>'Rose Iniziali'!D21</f>
        <v>4</v>
      </c>
      <c r="E29" s="358" t="str">
        <f>'Rose Iniziali'!E21</f>
        <v>Rabiot</v>
      </c>
      <c r="F29" s="353">
        <f>'Rose Iniziali'!F21</f>
        <v>0</v>
      </c>
      <c r="G29" s="359">
        <f>'Rose Iniziali'!G21</f>
        <v>25</v>
      </c>
      <c r="H29" s="358" t="str">
        <f>'Rose Iniziali'!H21</f>
        <v>Bernabè</v>
      </c>
      <c r="I29" s="353">
        <f>'Rose Iniziali'!I21</f>
        <v>0</v>
      </c>
      <c r="J29" s="359">
        <f>'Rose Iniziali'!J21</f>
        <v>4</v>
      </c>
      <c r="K29" s="358" t="str">
        <f>'Rose Iniziali'!K21</f>
        <v>Conceicao</v>
      </c>
      <c r="L29" s="353">
        <f>'Rose Iniziali'!L21</f>
        <v>0</v>
      </c>
      <c r="M29" s="359">
        <f>'Rose Iniziali'!M21</f>
        <v>13</v>
      </c>
      <c r="N29" s="358" t="str">
        <f>'Rose Iniziali'!N21</f>
        <v>Isaksen</v>
      </c>
      <c r="O29" s="353">
        <f>'Rose Iniziali'!O21</f>
        <v>0</v>
      </c>
      <c r="P29" s="359">
        <f>'Rose Iniziali'!P21</f>
        <v>5</v>
      </c>
      <c r="Q29" s="358" t="str">
        <f>'Rose Iniziali'!Q21</f>
        <v>Da Cunha</v>
      </c>
      <c r="R29" s="353">
        <f>'Rose Iniziali'!R21</f>
        <v>0</v>
      </c>
      <c r="S29" s="359">
        <f>'Rose Iniziali'!S21</f>
        <v>9</v>
      </c>
      <c r="T29" s="358" t="str">
        <f>'Rose Iniziali'!T21</f>
        <v>Orsolini</v>
      </c>
      <c r="U29" s="353">
        <f>'Rose Iniziali'!U21</f>
        <v>0</v>
      </c>
      <c r="V29" s="359">
        <f>'Rose Iniziali'!V21</f>
        <v>27</v>
      </c>
      <c r="W29" s="358" t="str">
        <f>'Rose Iniziali'!W21</f>
        <v>Adzic</v>
      </c>
      <c r="X29" s="353">
        <f>'Rose Iniziali'!X21</f>
        <v>0</v>
      </c>
      <c r="Y29" s="359">
        <f>'Rose Iniziali'!Y21</f>
        <v>7</v>
      </c>
      <c r="AA29" s="248"/>
    </row>
    <row r="30" spans="1:27" s="143" customFormat="1" ht="17.25" customHeight="1" x14ac:dyDescent="0.25">
      <c r="A30" s="221"/>
      <c r="B30" s="358" t="str">
        <f>'Rose Iniziali'!B22</f>
        <v>Zielinski</v>
      </c>
      <c r="C30" s="353">
        <f>'Rose Iniziali'!C22</f>
        <v>0</v>
      </c>
      <c r="D30" s="359">
        <f>'Rose Iniziali'!D22</f>
        <v>20</v>
      </c>
      <c r="E30" s="358" t="str">
        <f>'Rose Iniziali'!E22</f>
        <v>Alajbegovic</v>
      </c>
      <c r="F30" s="353">
        <f>'Rose Iniziali'!F22</f>
        <v>0</v>
      </c>
      <c r="G30" s="359">
        <f>'Rose Iniziali'!G22</f>
        <v>1</v>
      </c>
      <c r="H30" s="358" t="str">
        <f>'Rose Iniziali'!H22</f>
        <v>Baldanzi</v>
      </c>
      <c r="I30" s="353">
        <f>'Rose Iniziali'!I22</f>
        <v>0</v>
      </c>
      <c r="J30" s="359">
        <f>'Rose Iniziali'!J22</f>
        <v>5</v>
      </c>
      <c r="K30" s="358" t="str">
        <f>'Rose Iniziali'!K29</f>
        <v>Thuram</v>
      </c>
      <c r="L30" s="353">
        <f>'Rose Iniziali'!L29</f>
        <v>0</v>
      </c>
      <c r="M30" s="359">
        <f>'Rose Iniziali'!M29</f>
        <v>90</v>
      </c>
      <c r="N30" s="358" t="str">
        <f>'Rose Iniziali'!N22</f>
        <v>Bernardeschi</v>
      </c>
      <c r="O30" s="353">
        <f>'Rose Iniziali'!O22</f>
        <v>0</v>
      </c>
      <c r="P30" s="359">
        <f>'Rose Iniziali'!P22</f>
        <v>5</v>
      </c>
      <c r="Q30" s="358" t="str">
        <f>'Rose Iniziali'!Q22</f>
        <v>Cissè A.</v>
      </c>
      <c r="R30" s="353">
        <f>'Rose Iniziali'!R22</f>
        <v>0</v>
      </c>
      <c r="S30" s="359">
        <f>'Rose Iniziali'!S22</f>
        <v>20</v>
      </c>
      <c r="T30" s="358" t="str">
        <f>'Rose Iniziali'!T22</f>
        <v>frattesi</v>
      </c>
      <c r="U30" s="353">
        <f>'Rose Iniziali'!U22</f>
        <v>0</v>
      </c>
      <c r="V30" s="359">
        <f>'Rose Iniziali'!V22</f>
        <v>44</v>
      </c>
      <c r="W30" s="358" t="str">
        <f>'Rose Iniziali'!W22</f>
        <v>Baturina</v>
      </c>
      <c r="X30" s="353">
        <f>'Rose Iniziali'!X22</f>
        <v>0</v>
      </c>
      <c r="Y30" s="359">
        <f>'Rose Iniziali'!Y22</f>
        <v>50</v>
      </c>
      <c r="AA30"/>
    </row>
    <row r="31" spans="1:27" s="143" customFormat="1" ht="17.25" customHeight="1" x14ac:dyDescent="0.25">
      <c r="A31" s="221"/>
      <c r="B31" s="358" t="str">
        <f>'Rose Iniziali'!B23</f>
        <v>kessie</v>
      </c>
      <c r="C31" s="353">
        <f>'Rose Iniziali'!C23</f>
        <v>0</v>
      </c>
      <c r="D31" s="359">
        <f>'Rose Iniziali'!D23</f>
        <v>2</v>
      </c>
      <c r="E31" s="358" t="str">
        <f>'Rose Iniziali'!E23</f>
        <v>Lobotka</v>
      </c>
      <c r="F31" s="353">
        <f>'Rose Iniziali'!F23</f>
        <v>0</v>
      </c>
      <c r="G31" s="359">
        <f>'Rose Iniziali'!G23</f>
        <v>1</v>
      </c>
      <c r="H31" s="358" t="str">
        <f>'Rose Iniziali'!H23</f>
        <v>Mora</v>
      </c>
      <c r="I31" s="353">
        <f>'Rose Iniziali'!I23</f>
        <v>0</v>
      </c>
      <c r="J31" s="359">
        <f>'Rose Iniziali'!J23</f>
        <v>14</v>
      </c>
      <c r="K31" s="358" t="e">
        <f>'Rose Iniziali'!#REF!</f>
        <v>#REF!</v>
      </c>
      <c r="L31" s="353" t="e">
        <f>'Rose Iniziali'!#REF!</f>
        <v>#REF!</v>
      </c>
      <c r="M31" s="359" t="e">
        <f>'Rose Iniziali'!#REF!</f>
        <v>#REF!</v>
      </c>
      <c r="N31" s="358" t="str">
        <f>'Rose Iniziali'!N23</f>
        <v>Goncalves P.</v>
      </c>
      <c r="O31" s="353">
        <f>'Rose Iniziali'!O23</f>
        <v>0</v>
      </c>
      <c r="P31" s="359">
        <f>'Rose Iniziali'!P23</f>
        <v>4</v>
      </c>
      <c r="Q31" s="358" t="str">
        <f>'Rose Iniziali'!Q23</f>
        <v>vergara</v>
      </c>
      <c r="R31" s="353">
        <f>'Rose Iniziali'!R23</f>
        <v>0</v>
      </c>
      <c r="S31" s="359">
        <f>'Rose Iniziali'!S23</f>
        <v>18</v>
      </c>
      <c r="T31" s="358" t="str">
        <f>'Rose Iniziali'!T23</f>
        <v>zaniolo</v>
      </c>
      <c r="U31" s="353">
        <f>'Rose Iniziali'!U23</f>
        <v>0</v>
      </c>
      <c r="V31" s="359">
        <f>'Rose Iniziali'!V23</f>
        <v>11</v>
      </c>
      <c r="W31" s="358" t="str">
        <f>'Rose Iniziali'!W23</f>
        <v>volpato</v>
      </c>
      <c r="X31" s="353">
        <f>'Rose Iniziali'!X23</f>
        <v>0</v>
      </c>
      <c r="Y31" s="359">
        <f>'Rose Iniziali'!Y23</f>
        <v>1</v>
      </c>
    </row>
    <row r="32" spans="1:27" s="143" customFormat="1" ht="17.25" customHeight="1" x14ac:dyDescent="0.25">
      <c r="A32" s="221"/>
      <c r="B32" s="358" t="str">
        <f>'Rose Iniziali'!B24</f>
        <v>Saelemaekers</v>
      </c>
      <c r="C32" s="353">
        <f>'Rose Iniziali'!C24</f>
        <v>0</v>
      </c>
      <c r="D32" s="359">
        <f>'Rose Iniziali'!D24</f>
        <v>4</v>
      </c>
      <c r="E32" s="358" t="str">
        <f>'Rose Iniziali'!E24</f>
        <v>Modric</v>
      </c>
      <c r="F32" s="353">
        <f>'Rose Iniziali'!F24</f>
        <v>0</v>
      </c>
      <c r="G32" s="359">
        <f>'Rose Iniziali'!G24</f>
        <v>3</v>
      </c>
      <c r="H32" s="358" t="str">
        <f>'Rose Iniziali'!H24</f>
        <v>Mastantuono</v>
      </c>
      <c r="I32" s="353">
        <f>'Rose Iniziali'!I24</f>
        <v>0</v>
      </c>
      <c r="J32" s="359">
        <f>'Rose Iniziali'!J24</f>
        <v>37</v>
      </c>
      <c r="K32" s="358" t="str">
        <f>'Rose Iniziali'!K24</f>
        <v>Cacciamani</v>
      </c>
      <c r="L32" s="353">
        <f>'Rose Iniziali'!L24</f>
        <v>0</v>
      </c>
      <c r="M32" s="359">
        <f>'Rose Iniziali'!M24</f>
        <v>1</v>
      </c>
      <c r="N32" s="358" t="str">
        <f>'Rose Iniziali'!N24</f>
        <v>Samardzic</v>
      </c>
      <c r="O32" s="353">
        <f>'Rose Iniziali'!O24</f>
        <v>0</v>
      </c>
      <c r="P32" s="359">
        <f>'Rose Iniziali'!P24</f>
        <v>3</v>
      </c>
      <c r="Q32" s="358" t="str">
        <f>'Rose Iniziali'!Q24</f>
        <v>ferguson</v>
      </c>
      <c r="R32" s="353">
        <f>'Rose Iniziali'!R24</f>
        <v>0</v>
      </c>
      <c r="S32" s="359">
        <f>'Rose Iniziali'!S24</f>
        <v>1</v>
      </c>
      <c r="T32" s="358" t="str">
        <f>'Rose Iniziali'!T24</f>
        <v>jones C</v>
      </c>
      <c r="U32" s="353">
        <f>'Rose Iniziali'!U24</f>
        <v>0</v>
      </c>
      <c r="V32" s="359">
        <f>'Rose Iniziali'!V24</f>
        <v>1</v>
      </c>
      <c r="W32" s="358" t="str">
        <f>'Rose Iniziali'!W24</f>
        <v>Diouf</v>
      </c>
      <c r="X32" s="353">
        <f>'Rose Iniziali'!X24</f>
        <v>0</v>
      </c>
      <c r="Y32" s="359">
        <f>'Rose Iniziali'!Y24</f>
        <v>1</v>
      </c>
    </row>
    <row r="33" spans="1:25" s="143" customFormat="1" ht="17.25" customHeight="1" x14ac:dyDescent="0.25">
      <c r="A33" s="221"/>
      <c r="B33" s="358" t="str">
        <f>'Rose Iniziali'!B25</f>
        <v>cambiaghi</v>
      </c>
      <c r="C33" s="353">
        <f>'Rose Iniziali'!C25</f>
        <v>0</v>
      </c>
      <c r="D33" s="359">
        <f>'Rose Iniziali'!D25</f>
        <v>3</v>
      </c>
      <c r="E33" s="358" t="str">
        <f>'Rose Iniziali'!E25</f>
        <v>politano</v>
      </c>
      <c r="F33" s="353">
        <f>'Rose Iniziali'!F25</f>
        <v>0</v>
      </c>
      <c r="G33" s="359">
        <f>'Rose Iniziali'!G25</f>
        <v>40</v>
      </c>
      <c r="H33" s="358" t="str">
        <f>'Rose Iniziali'!H25</f>
        <v>zaccagni</v>
      </c>
      <c r="I33" s="353">
        <f>'Rose Iniziali'!I25</f>
        <v>0</v>
      </c>
      <c r="J33" s="359">
        <f>'Rose Iniziali'!J25</f>
        <v>38</v>
      </c>
      <c r="K33" s="358" t="str">
        <f>'Rose Iniziali'!K25</f>
        <v>Vlasic</v>
      </c>
      <c r="L33" s="353">
        <f>'Rose Iniziali'!L25</f>
        <v>0</v>
      </c>
      <c r="M33" s="359">
        <f>'Rose Iniziali'!M25</f>
        <v>10</v>
      </c>
      <c r="N33" s="358" t="str">
        <f>'Rose Iniziali'!N25</f>
        <v>pulisic</v>
      </c>
      <c r="O33" s="353">
        <f>'Rose Iniziali'!O25</f>
        <v>0</v>
      </c>
      <c r="P33" s="359">
        <f>'Rose Iniziali'!P25</f>
        <v>16</v>
      </c>
      <c r="Q33" s="358" t="str">
        <f>'Rose Iniziali'!Q25</f>
        <v>casadei</v>
      </c>
      <c r="R33" s="353">
        <f>'Rose Iniziali'!R25</f>
        <v>0</v>
      </c>
      <c r="S33" s="359">
        <f>'Rose Iniziali'!S25</f>
        <v>1</v>
      </c>
      <c r="T33" s="358" t="str">
        <f>'Rose Iniziali'!T25</f>
        <v>Thorstvedt</v>
      </c>
      <c r="U33" s="353">
        <f>'Rose Iniziali'!U25</f>
        <v>0</v>
      </c>
      <c r="V33" s="359">
        <f>'Rose Iniziali'!V25</f>
        <v>1</v>
      </c>
      <c r="W33" s="358" t="str">
        <f>'Rose Iniziali'!W25</f>
        <v>Sarr P.</v>
      </c>
      <c r="X33" s="353">
        <f>'Rose Iniziali'!X25</f>
        <v>0</v>
      </c>
      <c r="Y33" s="359">
        <f>'Rose Iniziali'!Y25</f>
        <v>1</v>
      </c>
    </row>
    <row r="34" spans="1:25" s="143" customFormat="1" ht="17.25" customHeight="1" x14ac:dyDescent="0.25">
      <c r="A34" s="221"/>
      <c r="B34" s="358" t="str">
        <f>'Rose Iniziali'!B26</f>
        <v>perrone</v>
      </c>
      <c r="C34" s="353">
        <f>'Rose Iniziali'!C26</f>
        <v>0</v>
      </c>
      <c r="D34" s="359">
        <f>'Rose Iniziali'!D26</f>
        <v>2</v>
      </c>
      <c r="E34" s="358" t="str">
        <f>'Rose Iniziali'!E26</f>
        <v>Gonzalez N.</v>
      </c>
      <c r="F34" s="353">
        <f>'Rose Iniziali'!F26</f>
        <v>0</v>
      </c>
      <c r="G34" s="359">
        <f>'Rose Iniziali'!G26</f>
        <v>31</v>
      </c>
      <c r="H34" s="358" t="str">
        <f>'Rose Iniziali'!H26</f>
        <v>Gudmundsson</v>
      </c>
      <c r="I34" s="353">
        <f>'Rose Iniziali'!I26</f>
        <v>0</v>
      </c>
      <c r="J34" s="359">
        <f>'Rose Iniziali'!J26</f>
        <v>15</v>
      </c>
      <c r="K34" s="358" t="str">
        <f>'Rose Iniziali'!K26</f>
        <v>calò</v>
      </c>
      <c r="L34" s="353">
        <f>'Rose Iniziali'!L26</f>
        <v>0</v>
      </c>
      <c r="M34" s="359">
        <f>'Rose Iniziali'!M26</f>
        <v>1</v>
      </c>
      <c r="N34" s="358" t="str">
        <f>'Rose Iniziali'!N26</f>
        <v>rowe</v>
      </c>
      <c r="O34" s="353">
        <f>'Rose Iniziali'!O26</f>
        <v>0</v>
      </c>
      <c r="P34" s="359">
        <f>'Rose Iniziali'!P26</f>
        <v>17</v>
      </c>
      <c r="Q34" s="358" t="str">
        <f>'Rose Iniziali'!Q26</f>
        <v>Romano</v>
      </c>
      <c r="R34" s="353">
        <f>'Rose Iniziali'!R26</f>
        <v>0</v>
      </c>
      <c r="S34" s="359">
        <f>'Rose Iniziali'!S26</f>
        <v>1</v>
      </c>
      <c r="T34" s="358" t="str">
        <f>'Rose Iniziali'!T26</f>
        <v>Schmid</v>
      </c>
      <c r="U34" s="353">
        <f>'Rose Iniziali'!U26</f>
        <v>0</v>
      </c>
      <c r="V34" s="359">
        <f>'Rose Iniziali'!V26</f>
        <v>1</v>
      </c>
      <c r="W34" s="358" t="str">
        <f>'Rose Iniziali'!W26</f>
        <v>Chukwueze</v>
      </c>
      <c r="X34" s="353">
        <f>'Rose Iniziali'!X26</f>
        <v>0</v>
      </c>
      <c r="Y34" s="359">
        <f>'Rose Iniziali'!Y26</f>
        <v>1</v>
      </c>
    </row>
    <row r="35" spans="1:25" s="143" customFormat="1" ht="17.25" customHeight="1" x14ac:dyDescent="0.25">
      <c r="A35" s="221"/>
      <c r="B35" s="372"/>
      <c r="C35" s="373"/>
      <c r="D35" s="398"/>
      <c r="E35" s="358"/>
      <c r="F35" s="353"/>
      <c r="G35" s="391"/>
      <c r="H35" s="372"/>
      <c r="I35" s="373"/>
      <c r="J35" s="393"/>
      <c r="K35" s="372"/>
      <c r="L35" s="373"/>
      <c r="M35" s="393"/>
      <c r="N35" s="375"/>
      <c r="O35" s="376"/>
      <c r="P35" s="398"/>
      <c r="Q35" s="375"/>
      <c r="R35" s="376"/>
      <c r="S35" s="398"/>
      <c r="T35" s="375"/>
      <c r="U35" s="376"/>
      <c r="V35" s="398"/>
      <c r="W35" s="372"/>
      <c r="X35" s="373"/>
      <c r="Y35" s="374"/>
    </row>
    <row r="36" spans="1:25" s="143" customFormat="1" ht="17.25" customHeight="1" x14ac:dyDescent="0.25">
      <c r="A36" s="221"/>
      <c r="B36" s="372"/>
      <c r="C36" s="373"/>
      <c r="D36" s="398"/>
      <c r="E36" s="365"/>
      <c r="F36" s="364"/>
      <c r="G36" s="387"/>
      <c r="H36" s="383"/>
      <c r="I36" s="384"/>
      <c r="J36" s="394"/>
      <c r="K36" s="372"/>
      <c r="L36" s="373"/>
      <c r="M36" s="393"/>
      <c r="N36" s="375"/>
      <c r="O36" s="376"/>
      <c r="P36" s="398"/>
      <c r="Q36" s="383"/>
      <c r="R36" s="384"/>
      <c r="S36" s="394"/>
      <c r="T36" s="383"/>
      <c r="U36" s="384"/>
      <c r="V36" s="394"/>
      <c r="W36" s="365"/>
      <c r="X36" s="364"/>
      <c r="Y36" s="388"/>
    </row>
    <row r="37" spans="1:25" s="143" customFormat="1" ht="17.25" customHeight="1" x14ac:dyDescent="0.25">
      <c r="A37" s="221"/>
      <c r="B37" s="367"/>
      <c r="C37" s="363"/>
      <c r="D37" s="387"/>
      <c r="E37" s="365"/>
      <c r="F37" s="364"/>
      <c r="G37" s="387"/>
      <c r="H37" s="385"/>
      <c r="I37" s="386"/>
      <c r="J37" s="395"/>
      <c r="K37" s="365"/>
      <c r="L37" s="364"/>
      <c r="M37" s="388"/>
      <c r="N37" s="365"/>
      <c r="O37" s="364"/>
      <c r="P37" s="388"/>
      <c r="Q37" s="365"/>
      <c r="R37" s="364"/>
      <c r="S37" s="388"/>
      <c r="T37" s="367"/>
      <c r="U37" s="363"/>
      <c r="V37" s="387"/>
      <c r="W37" s="365"/>
      <c r="X37" s="364"/>
      <c r="Y37" s="388"/>
    </row>
    <row r="38" spans="1:25" s="143" customFormat="1" ht="17.25" customHeight="1" x14ac:dyDescent="0.25">
      <c r="A38" s="221"/>
      <c r="B38" s="367"/>
      <c r="C38" s="363"/>
      <c r="D38" s="387"/>
      <c r="E38" s="365"/>
      <c r="F38" s="364"/>
      <c r="G38" s="387"/>
      <c r="H38" s="385"/>
      <c r="I38" s="386"/>
      <c r="J38" s="395"/>
      <c r="K38" s="365"/>
      <c r="L38" s="364"/>
      <c r="M38" s="388"/>
      <c r="N38" s="365"/>
      <c r="O38" s="364"/>
      <c r="P38" s="388"/>
      <c r="Q38" s="365"/>
      <c r="R38" s="364"/>
      <c r="S38" s="388"/>
      <c r="T38" s="367"/>
      <c r="U38" s="363"/>
      <c r="V38" s="387"/>
      <c r="W38" s="365"/>
      <c r="X38" s="364"/>
      <c r="Y38" s="388"/>
    </row>
    <row r="39" spans="1:25" s="143" customFormat="1" ht="17.25" customHeight="1" thickBot="1" x14ac:dyDescent="0.3">
      <c r="A39" s="225"/>
      <c r="B39" s="368"/>
      <c r="C39" s="369"/>
      <c r="D39" s="389"/>
      <c r="E39" s="370"/>
      <c r="F39" s="371"/>
      <c r="G39" s="389"/>
      <c r="H39" s="400"/>
      <c r="I39" s="401"/>
      <c r="J39" s="402"/>
      <c r="K39" s="370"/>
      <c r="L39" s="371"/>
      <c r="M39" s="390"/>
      <c r="N39" s="370"/>
      <c r="O39" s="371"/>
      <c r="P39" s="390"/>
      <c r="Q39" s="370"/>
      <c r="R39" s="371"/>
      <c r="S39" s="390"/>
      <c r="T39" s="368"/>
      <c r="U39" s="369"/>
      <c r="V39" s="389"/>
      <c r="W39" s="370"/>
      <c r="X39" s="371"/>
      <c r="Y39" s="390"/>
    </row>
    <row r="40" spans="1:25" s="143" customFormat="1" ht="17.25" customHeight="1" thickTop="1" thickBot="1" x14ac:dyDescent="0.3">
      <c r="A40" s="220" t="s">
        <v>48</v>
      </c>
      <c r="B40" s="358" t="str">
        <f>'Rose Iniziali'!B27</f>
        <v>hojund</v>
      </c>
      <c r="C40" s="353">
        <f>'Rose Iniziali'!C27</f>
        <v>0</v>
      </c>
      <c r="D40" s="379">
        <f>'Rose Iniziali'!D27</f>
        <v>82</v>
      </c>
      <c r="E40" s="358" t="str">
        <f>'Rose Iniziali'!E27</f>
        <v>De Ketelaere</v>
      </c>
      <c r="F40" s="353" t="str">
        <f>'Rose Iniziali'!F27</f>
        <v>Ata</v>
      </c>
      <c r="G40" s="379">
        <f>'Rose Iniziali'!G27</f>
        <v>29</v>
      </c>
      <c r="H40" s="358" t="str">
        <f>'Rose Iniziali'!H27</f>
        <v>pinamonti</v>
      </c>
      <c r="I40" s="353">
        <f>'Rose Iniziali'!I27</f>
        <v>0</v>
      </c>
      <c r="J40" s="379">
        <f>'Rose Iniziali'!J27</f>
        <v>38</v>
      </c>
      <c r="K40" s="358" t="str">
        <f>'Rose Iniziali'!K27</f>
        <v>Ramos G.</v>
      </c>
      <c r="L40" s="353">
        <f>'Rose Iniziali'!L27</f>
        <v>0</v>
      </c>
      <c r="M40" s="379">
        <f>'Rose Iniziali'!M27</f>
        <v>57</v>
      </c>
      <c r="N40" s="358" t="str">
        <f>'Rose Iniziali'!N27</f>
        <v>Douvikas</v>
      </c>
      <c r="O40" s="353">
        <f>'Rose Iniziali'!O27</f>
        <v>0</v>
      </c>
      <c r="P40" s="379">
        <f>'Rose Iniziali'!P27</f>
        <v>1</v>
      </c>
      <c r="Q40" s="358" t="str">
        <f>'Rose Iniziali'!Q27</f>
        <v>Pio Esposito</v>
      </c>
      <c r="R40" s="353">
        <f>'Rose Iniziali'!R27</f>
        <v>0</v>
      </c>
      <c r="S40" s="379">
        <f>'Rose Iniziali'!S27</f>
        <v>1</v>
      </c>
      <c r="T40" s="358" t="str">
        <f>'Rose Iniziali'!T27</f>
        <v>Soule</v>
      </c>
      <c r="U40" s="353" t="str">
        <f>'Rose Iniziali'!U27</f>
        <v>Rom.</v>
      </c>
      <c r="V40" s="379">
        <f>'Rose Iniziali'!V27</f>
        <v>35</v>
      </c>
      <c r="W40" s="358" t="str">
        <f>'Rose Iniziali'!W27</f>
        <v>Martinez L</v>
      </c>
      <c r="X40" s="353">
        <f>'Rose Iniziali'!X27</f>
        <v>0</v>
      </c>
      <c r="Y40" s="360">
        <f>'Rose Iniziali'!Y27</f>
        <v>144</v>
      </c>
    </row>
    <row r="41" spans="1:25" s="143" customFormat="1" ht="17.25" customHeight="1" x14ac:dyDescent="0.25">
      <c r="B41" s="358" t="str">
        <f>'Rose Iniziali'!B28</f>
        <v>Davis K.</v>
      </c>
      <c r="C41" s="353">
        <f>'Rose Iniziali'!C28</f>
        <v>0</v>
      </c>
      <c r="D41" s="379">
        <f>'Rose Iniziali'!D28</f>
        <v>45</v>
      </c>
      <c r="E41" s="358" t="str">
        <f>'Rose Iniziali'!E28</f>
        <v>Berardi</v>
      </c>
      <c r="F41" s="353">
        <f>'Rose Iniziali'!F28</f>
        <v>0</v>
      </c>
      <c r="G41" s="379">
        <f>'Rose Iniziali'!G28</f>
        <v>12</v>
      </c>
      <c r="H41" s="358" t="str">
        <f>'Rose Iniziali'!H28</f>
        <v>Kolo Muani</v>
      </c>
      <c r="I41" s="353">
        <f>'Rose Iniziali'!I28</f>
        <v>0</v>
      </c>
      <c r="J41" s="379">
        <f>'Rose Iniziali'!J28</f>
        <v>31</v>
      </c>
      <c r="K41" s="358" t="str">
        <f>'Rose Iniziali'!K28</f>
        <v>Diao</v>
      </c>
      <c r="L41" s="353">
        <f>'Rose Iniziali'!L28</f>
        <v>0</v>
      </c>
      <c r="M41" s="379">
        <f>'Rose Iniziali'!M28</f>
        <v>60</v>
      </c>
      <c r="N41" s="358" t="str">
        <f>'Rose Iniziali'!N28</f>
        <v>Kean</v>
      </c>
      <c r="O41" s="353">
        <f>'Rose Iniziali'!O28</f>
        <v>0</v>
      </c>
      <c r="P41" s="379">
        <f>'Rose Iniziali'!P28</f>
        <v>72</v>
      </c>
      <c r="Q41" s="358" t="str">
        <f>'Rose Iniziali'!Q28</f>
        <v>Malen</v>
      </c>
      <c r="R41" s="353">
        <f>'Rose Iniziali'!R28</f>
        <v>0</v>
      </c>
      <c r="S41" s="379">
        <f>'Rose Iniziali'!S28</f>
        <v>160</v>
      </c>
      <c r="T41" s="358" t="str">
        <f>'Rose Iniziali'!T28</f>
        <v>Raimondo</v>
      </c>
      <c r="U41" s="353">
        <f>'Rose Iniziali'!U28</f>
        <v>0</v>
      </c>
      <c r="V41" s="379">
        <f>'Rose Iniziali'!V28</f>
        <v>43</v>
      </c>
      <c r="W41" s="358" t="str">
        <f>'Rose Iniziali'!W28</f>
        <v>Dovbyk</v>
      </c>
      <c r="X41" s="353">
        <f>'Rose Iniziali'!X28</f>
        <v>0</v>
      </c>
      <c r="Y41" s="359">
        <f>'Rose Iniziali'!Y28</f>
        <v>5</v>
      </c>
    </row>
    <row r="42" spans="1:25" s="143" customFormat="1" ht="17.25" customHeight="1" x14ac:dyDescent="0.25">
      <c r="B42" s="358" t="str">
        <f>'Rose Iniziali'!B29</f>
        <v>Santos A.</v>
      </c>
      <c r="C42" s="353">
        <f>'Rose Iniziali'!C29</f>
        <v>0</v>
      </c>
      <c r="D42" s="379">
        <f>'Rose Iniziali'!D29</f>
        <v>40</v>
      </c>
      <c r="E42" s="358" t="str">
        <f>'Rose Iniziali'!E29</f>
        <v>Yildiz</v>
      </c>
      <c r="F42" s="353">
        <f>'Rose Iniziali'!F29</f>
        <v>0</v>
      </c>
      <c r="G42" s="379">
        <f>'Rose Iniziali'!G29</f>
        <v>3</v>
      </c>
      <c r="H42" s="358" t="str">
        <f>'Rose Iniziali'!H29</f>
        <v>Woltemade</v>
      </c>
      <c r="I42" s="353">
        <f>'Rose Iniziali'!I29</f>
        <v>0</v>
      </c>
      <c r="J42" s="379">
        <f>'Rose Iniziali'!J29</f>
        <v>29</v>
      </c>
      <c r="K42" s="358" t="e">
        <f>'Rose Iniziali'!#REF!</f>
        <v>#REF!</v>
      </c>
      <c r="L42" s="353" t="e">
        <f>'Rose Iniziali'!#REF!</f>
        <v>#REF!</v>
      </c>
      <c r="M42" s="379" t="e">
        <f>'Rose Iniziali'!#REF!</f>
        <v>#REF!</v>
      </c>
      <c r="N42" s="358" t="str">
        <f>'Rose Iniziali'!N29</f>
        <v>scamacca</v>
      </c>
      <c r="O42" s="353">
        <f>'Rose Iniziali'!O29</f>
        <v>0</v>
      </c>
      <c r="P42" s="379">
        <f>'Rose Iniziali'!P29</f>
        <v>30</v>
      </c>
      <c r="Q42" s="358" t="str">
        <f>'Rose Iniziali'!Q29</f>
        <v>Raspadori</v>
      </c>
      <c r="R42" s="353">
        <f>'Rose Iniziali'!R29</f>
        <v>0</v>
      </c>
      <c r="S42" s="379">
        <f>'Rose Iniziali'!S29</f>
        <v>5</v>
      </c>
      <c r="T42" s="358" t="str">
        <f>'Rose Iniziali'!T29</f>
        <v>Varela</v>
      </c>
      <c r="U42" s="353">
        <f>'Rose Iniziali'!U29</f>
        <v>0</v>
      </c>
      <c r="V42" s="379">
        <f>'Rose Iniziali'!V29</f>
        <v>7</v>
      </c>
      <c r="W42" s="358" t="str">
        <f>'Rose Iniziali'!W29</f>
        <v>Beto</v>
      </c>
      <c r="X42" s="353">
        <f>'Rose Iniziali'!X29</f>
        <v>0</v>
      </c>
      <c r="Y42" s="359">
        <f>'Rose Iniziali'!Y29</f>
        <v>1</v>
      </c>
    </row>
    <row r="43" spans="1:25" s="143" customFormat="1" ht="17.25" customHeight="1" x14ac:dyDescent="0.25">
      <c r="B43" s="358" t="str">
        <f>'Rose Iniziali'!B30</f>
        <v>Maldini</v>
      </c>
      <c r="C43" s="353">
        <f>'Rose Iniziali'!C30</f>
        <v>0</v>
      </c>
      <c r="D43" s="379">
        <f>'Rose Iniziali'!D30</f>
        <v>1</v>
      </c>
      <c r="E43" s="358" t="str">
        <f>'Rose Iniziali'!E30</f>
        <v>Dybala</v>
      </c>
      <c r="F43" s="353">
        <f>'Rose Iniziali'!F30</f>
        <v>0</v>
      </c>
      <c r="G43" s="379">
        <f>'Rose Iniziali'!G30</f>
        <v>63</v>
      </c>
      <c r="H43" s="358" t="str">
        <f>'Rose Iniziali'!H30</f>
        <v>Kvernadze</v>
      </c>
      <c r="I43" s="353">
        <f>'Rose Iniziali'!I30</f>
        <v>0</v>
      </c>
      <c r="J43" s="379">
        <f>'Rose Iniziali'!J30</f>
        <v>1</v>
      </c>
      <c r="K43" s="358" t="e">
        <f>'Rose Iniziali'!#REF!</f>
        <v>#REF!</v>
      </c>
      <c r="L43" s="353">
        <f>'Rose Iniziali'!L30</f>
        <v>0</v>
      </c>
      <c r="M43" s="379">
        <f>'Rose Iniziali'!M30</f>
        <v>1</v>
      </c>
      <c r="N43" s="358" t="str">
        <f>'Rose Iniziali'!N30</f>
        <v>adams</v>
      </c>
      <c r="O43" s="353">
        <f>'Rose Iniziali'!O30</f>
        <v>0</v>
      </c>
      <c r="P43" s="379">
        <f>'Rose Iniziali'!P30</f>
        <v>42</v>
      </c>
      <c r="Q43" s="358" t="str">
        <f>'Rose Iniziali'!Q30</f>
        <v>Krstovic</v>
      </c>
      <c r="R43" s="353">
        <f>'Rose Iniziali'!R30</f>
        <v>0</v>
      </c>
      <c r="S43" s="379">
        <f>'Rose Iniziali'!S30</f>
        <v>41</v>
      </c>
      <c r="T43" s="358" t="str">
        <f>'Rose Iniziali'!T30</f>
        <v>Laurientè</v>
      </c>
      <c r="U43" s="353">
        <f>'Rose Iniziali'!U30</f>
        <v>0</v>
      </c>
      <c r="V43" s="379">
        <f>'Rose Iniziali'!V30</f>
        <v>16</v>
      </c>
      <c r="W43" s="358" t="str">
        <f>'Rose Iniziali'!W30</f>
        <v>piccoli</v>
      </c>
      <c r="X43" s="353">
        <f>'Rose Iniziali'!X30</f>
        <v>0</v>
      </c>
      <c r="Y43" s="359">
        <f>'Rose Iniziali'!Y30</f>
        <v>8</v>
      </c>
    </row>
    <row r="44" spans="1:25" s="143" customFormat="1" ht="17.25" customHeight="1" x14ac:dyDescent="0.25">
      <c r="B44" s="358" t="str">
        <f>'Rose Iniziali'!B31</f>
        <v>simeone</v>
      </c>
      <c r="C44" s="353">
        <f>'Rose Iniziali'!C31</f>
        <v>0</v>
      </c>
      <c r="D44" s="379">
        <f>'Rose Iniziali'!D31</f>
        <v>41</v>
      </c>
      <c r="E44" s="358" t="str">
        <f>'Rose Iniziali'!E31</f>
        <v>castro</v>
      </c>
      <c r="F44" s="353">
        <f>'Rose Iniziali'!F31</f>
        <v>0</v>
      </c>
      <c r="G44" s="379">
        <f>'Rose Iniziali'!G31</f>
        <v>36</v>
      </c>
      <c r="H44" s="358" t="str">
        <f>'Rose Iniziali'!H31</f>
        <v>Ghedjemis</v>
      </c>
      <c r="I44" s="353">
        <f>'Rose Iniziali'!I31</f>
        <v>0</v>
      </c>
      <c r="J44" s="379">
        <f>'Rose Iniziali'!J31</f>
        <v>1</v>
      </c>
      <c r="K44" s="358" t="str">
        <f>'Rose Iniziali'!K30</f>
        <v>Vitinha O.</v>
      </c>
      <c r="L44" s="353">
        <f>'Rose Iniziali'!L31</f>
        <v>0</v>
      </c>
      <c r="M44" s="379">
        <f>'Rose Iniziali'!M31</f>
        <v>1</v>
      </c>
      <c r="N44" s="358" t="str">
        <f>'Rose Iniziali'!N31</f>
        <v>Romero D.</v>
      </c>
      <c r="O44" s="353">
        <f>'Rose Iniziali'!O31</f>
        <v>0</v>
      </c>
      <c r="P44" s="379">
        <f>'Rose Iniziali'!P31</f>
        <v>1</v>
      </c>
      <c r="Q44" s="358" t="str">
        <f>'Rose Iniziali'!Q31</f>
        <v>Camarda</v>
      </c>
      <c r="R44" s="353">
        <f>'Rose Iniziali'!R31</f>
        <v>0</v>
      </c>
      <c r="S44" s="379">
        <f>'Rose Iniziali'!S31</f>
        <v>1</v>
      </c>
      <c r="T44" s="358" t="str">
        <f>'Rose Iniziali'!T31</f>
        <v>Esposito s.</v>
      </c>
      <c r="U44" s="353">
        <f>'Rose Iniziali'!U31</f>
        <v>0</v>
      </c>
      <c r="V44" s="379">
        <f>'Rose Iniziali'!V31</f>
        <v>2</v>
      </c>
      <c r="W44" s="358" t="str">
        <f>'Rose Iniziali'!W31</f>
        <v>lontani</v>
      </c>
      <c r="X44" s="353">
        <f>'Rose Iniziali'!X31</f>
        <v>0</v>
      </c>
      <c r="Y44" s="359">
        <f>'Rose Iniziali'!Y31</f>
        <v>1</v>
      </c>
    </row>
    <row r="45" spans="1:25" s="143" customFormat="1" ht="17.25" customHeight="1" x14ac:dyDescent="0.25">
      <c r="A45" s="226"/>
      <c r="B45" s="358" t="str">
        <f>'Rose Iniziali'!B32</f>
        <v>lucca</v>
      </c>
      <c r="C45" s="353">
        <f>'Rose Iniziali'!C32</f>
        <v>0</v>
      </c>
      <c r="D45" s="379">
        <f>'Rose Iniziali'!D32</f>
        <v>1</v>
      </c>
      <c r="E45" s="358" t="str">
        <f>'Rose Iniziali'!E32</f>
        <v>boga</v>
      </c>
      <c r="F45" s="353">
        <f>'Rose Iniziali'!F32</f>
        <v>0</v>
      </c>
      <c r="G45" s="379">
        <f>'Rose Iniziali'!G32</f>
        <v>5</v>
      </c>
      <c r="H45" s="358" t="str">
        <f>'Rose Iniziali'!H32</f>
        <v>colombo</v>
      </c>
      <c r="I45" s="353">
        <f>'Rose Iniziali'!I32</f>
        <v>0</v>
      </c>
      <c r="J45" s="379">
        <f>'Rose Iniziali'!J32</f>
        <v>27</v>
      </c>
      <c r="K45" s="358" t="str">
        <f>'Rose Iniziali'!K32</f>
        <v>Kevin Carlos</v>
      </c>
      <c r="L45" s="353">
        <f>'Rose Iniziali'!L32</f>
        <v>0</v>
      </c>
      <c r="M45" s="379">
        <f>'Rose Iniziali'!M32</f>
        <v>1</v>
      </c>
      <c r="N45" s="358" t="str">
        <f>'Rose Iniziali'!N32</f>
        <v>Pellegrino M.</v>
      </c>
      <c r="O45" s="353">
        <f>'Rose Iniziali'!O32</f>
        <v>0</v>
      </c>
      <c r="P45" s="379">
        <f>'Rose Iniziali'!P32</f>
        <v>45</v>
      </c>
      <c r="Q45" s="358" t="str">
        <f>'Rose Iniziali'!Q32</f>
        <v>Yeboah J.</v>
      </c>
      <c r="R45" s="353">
        <f>'Rose Iniziali'!R32</f>
        <v>0</v>
      </c>
      <c r="S45" s="379">
        <f>'Rose Iniziali'!S32</f>
        <v>1</v>
      </c>
      <c r="T45" s="358" t="str">
        <f>'Rose Iniziali'!T32</f>
        <v>Kieron Bowie</v>
      </c>
      <c r="U45" s="353">
        <f>'Rose Iniziali'!U32</f>
        <v>0</v>
      </c>
      <c r="V45" s="379">
        <f>'Rose Iniziali'!V32</f>
        <v>1</v>
      </c>
      <c r="W45" s="358" t="str">
        <f>'Rose Iniziali'!W32</f>
        <v>bonny</v>
      </c>
      <c r="X45" s="353">
        <f>'Rose Iniziali'!X32</f>
        <v>0</v>
      </c>
      <c r="Y45" s="359">
        <f>'Rose Iniziali'!Y32</f>
        <v>8</v>
      </c>
    </row>
    <row r="46" spans="1:25" s="143" customFormat="1" ht="17.25" customHeight="1" x14ac:dyDescent="0.25">
      <c r="A46" s="226"/>
      <c r="B46" s="372"/>
      <c r="C46" s="373"/>
      <c r="D46" s="393"/>
      <c r="E46" s="372"/>
      <c r="F46" s="373"/>
      <c r="G46" s="393"/>
      <c r="H46" s="396"/>
      <c r="I46" s="397"/>
      <c r="J46" s="399"/>
      <c r="K46" s="372"/>
      <c r="L46" s="373"/>
      <c r="M46" s="393"/>
      <c r="N46" s="372"/>
      <c r="O46" s="373"/>
      <c r="P46" s="393"/>
      <c r="Q46" s="372"/>
      <c r="R46" s="373"/>
      <c r="S46" s="393"/>
      <c r="T46" s="372"/>
      <c r="U46" s="373"/>
      <c r="V46" s="393"/>
      <c r="W46" s="396"/>
      <c r="X46" s="397"/>
      <c r="Y46" s="399"/>
    </row>
    <row r="47" spans="1:25" s="143" customFormat="1" ht="17.25" customHeight="1" x14ac:dyDescent="0.25">
      <c r="A47" s="226"/>
      <c r="B47" s="372"/>
      <c r="C47" s="373"/>
      <c r="D47" s="393"/>
      <c r="E47" s="372"/>
      <c r="F47" s="373"/>
      <c r="G47" s="393"/>
      <c r="H47" s="372"/>
      <c r="I47" s="373"/>
      <c r="J47" s="393"/>
      <c r="K47" s="372"/>
      <c r="L47" s="373"/>
      <c r="M47" s="393"/>
      <c r="N47" s="372"/>
      <c r="O47" s="373"/>
      <c r="P47" s="393"/>
      <c r="Q47" s="372"/>
      <c r="R47" s="373"/>
      <c r="S47" s="393"/>
      <c r="T47" s="372"/>
      <c r="U47" s="373"/>
      <c r="V47" s="393"/>
      <c r="W47" s="396"/>
      <c r="X47" s="397"/>
      <c r="Y47" s="399"/>
    </row>
    <row r="48" spans="1:25" s="143" customFormat="1" ht="17.25" customHeight="1" x14ac:dyDescent="0.25">
      <c r="A48" s="226"/>
      <c r="B48" s="372"/>
      <c r="C48" s="373"/>
      <c r="D48" s="393"/>
      <c r="E48" s="372"/>
      <c r="F48" s="373"/>
      <c r="G48" s="393"/>
      <c r="H48" s="372"/>
      <c r="I48" s="373"/>
      <c r="J48" s="393"/>
      <c r="K48" s="372"/>
      <c r="L48" s="373"/>
      <c r="M48" s="393"/>
      <c r="N48" s="372"/>
      <c r="O48" s="373"/>
      <c r="P48" s="393"/>
      <c r="Q48" s="372"/>
      <c r="R48" s="373"/>
      <c r="S48" s="393"/>
      <c r="T48" s="372"/>
      <c r="U48" s="373"/>
      <c r="V48" s="393"/>
      <c r="W48" s="372"/>
      <c r="X48" s="373"/>
      <c r="Y48" s="393"/>
    </row>
    <row r="49" spans="1:26" s="143" customFormat="1" ht="17.25" customHeight="1" x14ac:dyDescent="0.25">
      <c r="A49" s="226"/>
      <c r="B49" s="372"/>
      <c r="C49" s="373"/>
      <c r="D49" s="393"/>
      <c r="E49" s="372"/>
      <c r="F49" s="373"/>
      <c r="G49" s="393"/>
      <c r="H49" s="372"/>
      <c r="I49" s="373"/>
      <c r="J49" s="393"/>
      <c r="K49" s="372"/>
      <c r="L49" s="373"/>
      <c r="M49" s="393"/>
      <c r="N49" s="372"/>
      <c r="O49" s="373"/>
      <c r="P49" s="393"/>
      <c r="Q49" s="372"/>
      <c r="R49" s="373"/>
      <c r="S49" s="393"/>
      <c r="T49" s="372"/>
      <c r="U49" s="373"/>
      <c r="V49" s="393"/>
      <c r="W49" s="372"/>
      <c r="X49" s="373"/>
      <c r="Y49" s="393"/>
    </row>
    <row r="50" spans="1:26" s="143" customFormat="1" ht="17.25" customHeight="1" thickBot="1" x14ac:dyDescent="0.3">
      <c r="A50" s="226"/>
      <c r="B50" s="341" t="s">
        <v>252</v>
      </c>
      <c r="C50" s="342" t="s">
        <v>253</v>
      </c>
      <c r="D50" s="343"/>
      <c r="E50" s="341" t="s">
        <v>252</v>
      </c>
      <c r="F50" s="342" t="s">
        <v>253</v>
      </c>
      <c r="G50" s="343"/>
      <c r="H50" s="341" t="s">
        <v>252</v>
      </c>
      <c r="I50" s="344" t="s">
        <v>253</v>
      </c>
      <c r="J50" s="343"/>
      <c r="K50" s="341" t="s">
        <v>252</v>
      </c>
      <c r="L50" s="344" t="s">
        <v>253</v>
      </c>
      <c r="M50" s="343"/>
      <c r="N50" s="341" t="s">
        <v>252</v>
      </c>
      <c r="O50" s="342" t="s">
        <v>253</v>
      </c>
      <c r="P50" s="343"/>
      <c r="Q50" s="341" t="s">
        <v>252</v>
      </c>
      <c r="R50" s="342" t="s">
        <v>253</v>
      </c>
      <c r="S50" s="343"/>
      <c r="T50" s="341" t="s">
        <v>252</v>
      </c>
      <c r="U50" s="342" t="s">
        <v>253</v>
      </c>
      <c r="V50" s="343"/>
      <c r="W50" s="341" t="s">
        <v>252</v>
      </c>
      <c r="X50" s="342" t="s">
        <v>253</v>
      </c>
      <c r="Y50" s="343"/>
    </row>
    <row r="51" spans="1:26" s="143" customFormat="1" ht="19" thickTop="1" thickBot="1" x14ac:dyDescent="0.3">
      <c r="A51" s="471" t="s">
        <v>49</v>
      </c>
      <c r="B51" s="471"/>
      <c r="C51" s="313"/>
      <c r="D51" s="227">
        <f>SUM(D8:D50)</f>
        <v>345</v>
      </c>
      <c r="E51" s="318"/>
      <c r="F51" s="317"/>
      <c r="G51" s="227">
        <f>SUM(G8:G50)</f>
        <v>323</v>
      </c>
      <c r="H51" s="318"/>
      <c r="I51" s="335"/>
      <c r="J51" s="227">
        <f>SUM(J8:J50)</f>
        <v>310</v>
      </c>
      <c r="K51" s="318"/>
      <c r="L51" s="335"/>
      <c r="M51" s="227" t="e">
        <f>SUM(M8:M50)</f>
        <v>#REF!</v>
      </c>
      <c r="N51" s="318"/>
      <c r="O51" s="317"/>
      <c r="P51" s="227" t="e">
        <f>SUM(P8:P50)</f>
        <v>#REF!</v>
      </c>
      <c r="Q51" s="318"/>
      <c r="R51" s="317"/>
      <c r="S51" s="227">
        <f>SUM(S8:S50)</f>
        <v>342</v>
      </c>
      <c r="T51" s="318"/>
      <c r="U51" s="317"/>
      <c r="V51" s="227">
        <f>SUM(V8:V50)</f>
        <v>282</v>
      </c>
      <c r="W51" s="318"/>
      <c r="X51" s="317"/>
      <c r="Y51" s="227">
        <f>SUM(Y8:Y50)</f>
        <v>265</v>
      </c>
    </row>
    <row r="52" spans="1:26" s="207" customFormat="1" ht="19" thickTop="1" thickBot="1" x14ac:dyDescent="0.3">
      <c r="A52" s="472" t="s">
        <v>54</v>
      </c>
      <c r="B52" s="472"/>
      <c r="C52" s="314"/>
      <c r="D52" s="228">
        <v>10</v>
      </c>
      <c r="E52" s="229"/>
      <c r="F52" s="229"/>
      <c r="G52" s="228">
        <v>10</v>
      </c>
      <c r="H52" s="229"/>
      <c r="I52" s="229"/>
      <c r="J52" s="228">
        <v>10</v>
      </c>
      <c r="K52" s="229"/>
      <c r="L52" s="229"/>
      <c r="M52" s="228">
        <v>10</v>
      </c>
      <c r="N52" s="229"/>
      <c r="O52" s="229"/>
      <c r="P52" s="228">
        <v>10</v>
      </c>
      <c r="Q52" s="229"/>
      <c r="R52" s="229"/>
      <c r="S52" s="228">
        <v>10</v>
      </c>
      <c r="T52" s="229"/>
      <c r="U52" s="229"/>
      <c r="V52" s="228">
        <v>10</v>
      </c>
      <c r="W52" s="229"/>
      <c r="X52" s="229"/>
      <c r="Y52" s="228">
        <v>10</v>
      </c>
    </row>
    <row r="53" spans="1:26" s="143" customFormat="1" ht="19" thickTop="1" thickBot="1" x14ac:dyDescent="0.3">
      <c r="A53" s="470" t="s">
        <v>50</v>
      </c>
      <c r="B53" s="470"/>
      <c r="C53" s="312"/>
      <c r="D53" s="230">
        <f>B6-D51+D52</f>
        <v>71</v>
      </c>
      <c r="E53" s="231"/>
      <c r="F53" s="231"/>
      <c r="G53" s="230">
        <f>E6-G51+G52</f>
        <v>92</v>
      </c>
      <c r="H53" s="231"/>
      <c r="I53" s="231"/>
      <c r="J53" s="230">
        <f>H6-J51+J52</f>
        <v>143</v>
      </c>
      <c r="K53" s="231"/>
      <c r="L53" s="231"/>
      <c r="M53" s="230" t="e">
        <f>K6-M51+M52</f>
        <v>#REF!</v>
      </c>
      <c r="N53" s="231"/>
      <c r="O53" s="231"/>
      <c r="P53" s="230" t="e">
        <f>N6-P51+P52</f>
        <v>#REF!</v>
      </c>
      <c r="Q53" s="231"/>
      <c r="R53" s="231"/>
      <c r="S53" s="230">
        <f>Q6-S51+S52</f>
        <v>48</v>
      </c>
      <c r="T53" s="231"/>
      <c r="U53" s="231"/>
      <c r="V53" s="230">
        <f>T6-V51+V52</f>
        <v>75</v>
      </c>
      <c r="W53" s="231"/>
      <c r="X53" s="231"/>
      <c r="Y53" s="230">
        <f>W6-Y51+Y52</f>
        <v>57</v>
      </c>
      <c r="Z53" s="115" t="s">
        <v>51</v>
      </c>
    </row>
    <row r="54" spans="1:26" s="143" customFormat="1" ht="20.25" customHeight="1" thickTop="1" thickBot="1" x14ac:dyDescent="0.3">
      <c r="B54" s="232"/>
      <c r="C54" s="232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</row>
    <row r="55" spans="1:26" s="143" customFormat="1" ht="18" thickBot="1" x14ac:dyDescent="0.3">
      <c r="A55" s="233">
        <f>'Rose Iniziali'!A37</f>
        <v>300</v>
      </c>
      <c r="B55" s="234" t="s">
        <v>52</v>
      </c>
      <c r="C55" s="234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</row>
    <row r="56" spans="1:26" s="143" customFormat="1" ht="18" thickBot="1" x14ac:dyDescent="0.3">
      <c r="A56" s="338"/>
      <c r="B56" s="339" t="s">
        <v>55</v>
      </c>
      <c r="C56" s="23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</row>
    <row r="57" spans="1:26" s="143" customFormat="1" ht="18" thickBot="1" x14ac:dyDescent="0.3">
      <c r="A57" s="237"/>
      <c r="B57" s="238" t="s">
        <v>56</v>
      </c>
      <c r="C57" s="238"/>
      <c r="D57" s="239"/>
      <c r="E57" s="239"/>
      <c r="F57" s="239"/>
      <c r="G57" s="239"/>
      <c r="W57" s="245"/>
      <c r="X57" s="245"/>
    </row>
    <row r="58" spans="1:26" s="143" customFormat="1" ht="18" thickBot="1" x14ac:dyDescent="0.3">
      <c r="A58" s="240"/>
      <c r="B58" s="241" t="s">
        <v>57</v>
      </c>
      <c r="C58" s="241"/>
      <c r="D58" s="242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</row>
    <row r="59" spans="1:26" x14ac:dyDescent="0.25">
      <c r="A59" s="244"/>
    </row>
  </sheetData>
  <mergeCells count="11">
    <mergeCell ref="Q4:S5"/>
    <mergeCell ref="T4:V5"/>
    <mergeCell ref="W4:Y5"/>
    <mergeCell ref="A51:B51"/>
    <mergeCell ref="A52:B52"/>
    <mergeCell ref="N4:P5"/>
    <mergeCell ref="A53:B53"/>
    <mergeCell ref="B4:D5"/>
    <mergeCell ref="E4:G5"/>
    <mergeCell ref="H4:J5"/>
    <mergeCell ref="K4:M5"/>
  </mergeCells>
  <pageMargins left="0.79" right="0.79" top="0.98" bottom="0.98" header="0.51" footer="0.51"/>
  <pageSetup paperSize="9" scale="44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0B56-5A6A-42FA-A864-50DDE1E41268}">
  <sheetPr codeName="Foglio7">
    <tabColor indexed="51"/>
  </sheetPr>
  <dimension ref="A1:AK52"/>
  <sheetViews>
    <sheetView zoomScale="85" zoomScaleNormal="85" workbookViewId="0">
      <selection activeCell="W15" sqref="W15"/>
    </sheetView>
  </sheetViews>
  <sheetFormatPr defaultRowHeight="12.5" x14ac:dyDescent="0.25"/>
  <cols>
    <col min="1" max="1" width="3.08984375" customWidth="1"/>
    <col min="2" max="2" width="11.453125" customWidth="1"/>
    <col min="3" max="3" width="5.1796875" customWidth="1"/>
    <col min="4" max="5" width="5.453125" customWidth="1"/>
    <col min="6" max="8" width="6.36328125" customWidth="1"/>
    <col min="9" max="9" width="6.453125" customWidth="1"/>
    <col min="10" max="10" width="10.6328125" customWidth="1"/>
    <col min="11" max="11" width="14.08984375" customWidth="1"/>
    <col min="12" max="13" width="2.90625" customWidth="1"/>
    <col min="14" max="14" width="12" customWidth="1"/>
    <col min="15" max="15" width="4.08984375" customWidth="1"/>
    <col min="16" max="20" width="5.6328125" customWidth="1"/>
    <col min="21" max="21" width="6.54296875" customWidth="1"/>
    <col min="22" max="22" width="10.54296875" customWidth="1"/>
    <col min="23" max="23" width="14.36328125" customWidth="1"/>
    <col min="24" max="24" width="13.36328125" customWidth="1"/>
    <col min="25" max="25" width="13.54296875" customWidth="1"/>
    <col min="26" max="27" width="1.453125" customWidth="1"/>
    <col min="28" max="28" width="5.90625" customWidth="1"/>
    <col min="29" max="31" width="5.6328125" customWidth="1"/>
    <col min="32" max="32" width="1.90625" customWidth="1"/>
    <col min="33" max="33" width="8" customWidth="1"/>
    <col min="34" max="34" width="7.54296875" customWidth="1"/>
  </cols>
  <sheetData>
    <row r="1" spans="1:31" ht="10.5" customHeight="1" x14ac:dyDescent="0.25"/>
    <row r="2" spans="1:31" ht="36.75" customHeight="1" x14ac:dyDescent="0.25">
      <c r="B2" s="143"/>
      <c r="C2" s="143"/>
      <c r="D2" s="144"/>
      <c r="J2" s="473" t="s">
        <v>58</v>
      </c>
      <c r="K2" s="474"/>
      <c r="L2" s="474"/>
      <c r="M2" s="474"/>
      <c r="N2" s="474"/>
      <c r="O2" s="475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ht="8.25" customHeight="1" x14ac:dyDescent="0.25">
      <c r="B3" s="143"/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</row>
    <row r="4" spans="1:31" ht="15" customHeight="1" x14ac:dyDescent="0.3">
      <c r="A4" s="6" t="s">
        <v>59</v>
      </c>
      <c r="B4" s="145" t="s">
        <v>60</v>
      </c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6" t="s">
        <v>59</v>
      </c>
      <c r="N4" s="145" t="s">
        <v>60</v>
      </c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</row>
    <row r="5" spans="1:31" ht="7.5" customHeight="1" x14ac:dyDescent="0.25">
      <c r="B5" s="488" t="s">
        <v>61</v>
      </c>
      <c r="C5" s="489"/>
      <c r="D5" s="489"/>
      <c r="E5" s="489"/>
      <c r="F5" s="489"/>
      <c r="G5" s="489"/>
      <c r="H5" s="489"/>
      <c r="I5" s="489"/>
      <c r="J5" s="489"/>
      <c r="K5" s="490"/>
      <c r="L5" s="143"/>
      <c r="M5" s="143"/>
      <c r="N5" s="497" t="s">
        <v>62</v>
      </c>
      <c r="O5" s="489"/>
      <c r="P5" s="489"/>
      <c r="Q5" s="489"/>
      <c r="R5" s="489"/>
      <c r="S5" s="489"/>
      <c r="T5" s="489"/>
      <c r="U5" s="489"/>
      <c r="V5" s="489"/>
      <c r="W5" s="490"/>
      <c r="X5" s="143"/>
      <c r="Y5" s="143"/>
      <c r="Z5" s="143"/>
      <c r="AA5" s="143"/>
      <c r="AB5" s="143"/>
      <c r="AC5" s="143"/>
      <c r="AD5" s="143"/>
      <c r="AE5" s="143"/>
    </row>
    <row r="6" spans="1:31" ht="7.5" customHeight="1" x14ac:dyDescent="0.25">
      <c r="B6" s="491"/>
      <c r="C6" s="492"/>
      <c r="D6" s="492"/>
      <c r="E6" s="492"/>
      <c r="F6" s="492"/>
      <c r="G6" s="492"/>
      <c r="H6" s="492"/>
      <c r="I6" s="492"/>
      <c r="J6" s="492"/>
      <c r="K6" s="493"/>
      <c r="L6" s="143"/>
      <c r="M6" s="143"/>
      <c r="N6" s="491"/>
      <c r="O6" s="492"/>
      <c r="P6" s="492"/>
      <c r="Q6" s="492"/>
      <c r="R6" s="492"/>
      <c r="S6" s="492"/>
      <c r="T6" s="492"/>
      <c r="U6" s="492"/>
      <c r="V6" s="492"/>
      <c r="W6" s="493"/>
      <c r="AC6" s="143"/>
      <c r="AD6" s="143"/>
      <c r="AE6" s="143"/>
    </row>
    <row r="7" spans="1:31" ht="7.5" customHeight="1" thickBot="1" x14ac:dyDescent="0.3">
      <c r="A7" s="146"/>
      <c r="B7" s="494"/>
      <c r="C7" s="495"/>
      <c r="D7" s="495"/>
      <c r="E7" s="495"/>
      <c r="F7" s="495"/>
      <c r="G7" s="495"/>
      <c r="H7" s="495"/>
      <c r="I7" s="495"/>
      <c r="J7" s="495"/>
      <c r="K7" s="496"/>
      <c r="L7" s="143"/>
      <c r="M7" s="143"/>
      <c r="N7" s="494"/>
      <c r="O7" s="495"/>
      <c r="P7" s="495"/>
      <c r="Q7" s="495"/>
      <c r="R7" s="495"/>
      <c r="S7" s="495"/>
      <c r="T7" s="495"/>
      <c r="U7" s="495"/>
      <c r="V7" s="495"/>
      <c r="W7" s="496"/>
      <c r="AC7" s="143"/>
      <c r="AD7" s="143"/>
      <c r="AE7" s="143"/>
    </row>
    <row r="8" spans="1:31" ht="26.5" thickBot="1" x14ac:dyDescent="0.3">
      <c r="A8" s="147"/>
      <c r="B8" s="148" t="s">
        <v>63</v>
      </c>
      <c r="C8" s="149" t="s">
        <v>29</v>
      </c>
      <c r="D8" s="150" t="s">
        <v>30</v>
      </c>
      <c r="E8" s="149" t="s">
        <v>31</v>
      </c>
      <c r="F8" s="150" t="s">
        <v>64</v>
      </c>
      <c r="G8" s="150" t="s">
        <v>65</v>
      </c>
      <c r="H8" s="150" t="s">
        <v>66</v>
      </c>
      <c r="I8" s="177" t="s">
        <v>5</v>
      </c>
      <c r="J8" s="178" t="s">
        <v>67</v>
      </c>
      <c r="K8" s="179" t="s">
        <v>68</v>
      </c>
      <c r="L8" s="143"/>
      <c r="M8" s="143"/>
      <c r="N8" s="165" t="s">
        <v>63</v>
      </c>
      <c r="O8" s="180" t="s">
        <v>29</v>
      </c>
      <c r="P8" s="180" t="s">
        <v>30</v>
      </c>
      <c r="Q8" s="180" t="s">
        <v>31</v>
      </c>
      <c r="R8" s="180" t="s">
        <v>64</v>
      </c>
      <c r="S8" s="180" t="s">
        <v>65</v>
      </c>
      <c r="T8" s="180" t="s">
        <v>66</v>
      </c>
      <c r="U8" s="192" t="s">
        <v>5</v>
      </c>
      <c r="V8" s="193" t="s">
        <v>67</v>
      </c>
      <c r="W8" s="179" t="s">
        <v>68</v>
      </c>
      <c r="AC8" s="143"/>
      <c r="AD8" s="143"/>
      <c r="AE8" s="143"/>
    </row>
    <row r="9" spans="1:31" ht="13" thickBot="1" x14ac:dyDescent="0.3">
      <c r="A9" s="151"/>
      <c r="B9" s="152" t="str">
        <f>CAMPIONATO!AX6</f>
        <v>Eugenio</v>
      </c>
      <c r="C9" s="153"/>
      <c r="D9" s="153"/>
      <c r="E9" s="153"/>
      <c r="F9" s="153"/>
      <c r="G9" s="153"/>
      <c r="H9" s="155">
        <f>F9-G9</f>
        <v>0</v>
      </c>
      <c r="I9" s="181">
        <f>C9*3+D9</f>
        <v>0</v>
      </c>
      <c r="J9" s="155">
        <f>-1*(D9+(E9*2))</f>
        <v>0</v>
      </c>
      <c r="K9" s="129">
        <v>0</v>
      </c>
      <c r="L9" s="143"/>
      <c r="M9" s="182"/>
      <c r="N9" s="152" t="str">
        <f>CAMPIONATO!AX14</f>
        <v>Molina</v>
      </c>
      <c r="O9" s="155"/>
      <c r="P9" s="155"/>
      <c r="Q9" s="155"/>
      <c r="R9" s="155"/>
      <c r="S9" s="155"/>
      <c r="T9" s="155">
        <f>R9-S9</f>
        <v>0</v>
      </c>
      <c r="U9" s="194">
        <f>O9*3+P9</f>
        <v>0</v>
      </c>
      <c r="V9" s="155">
        <f>-1*(P9+(Q9*2))</f>
        <v>0</v>
      </c>
      <c r="W9" s="134">
        <v>0</v>
      </c>
      <c r="AC9" s="143"/>
      <c r="AD9" s="143"/>
      <c r="AE9" s="143"/>
    </row>
    <row r="10" spans="1:31" ht="13.5" customHeight="1" thickBot="1" x14ac:dyDescent="0.3">
      <c r="A10" s="151"/>
      <c r="B10" s="152" t="str">
        <f>CAMPIONATO!AX8</f>
        <v>Riccardo</v>
      </c>
      <c r="C10" s="155"/>
      <c r="D10" s="155"/>
      <c r="E10" s="155"/>
      <c r="F10" s="155"/>
      <c r="G10" s="155"/>
      <c r="H10" s="155">
        <f>F10-G10</f>
        <v>0</v>
      </c>
      <c r="I10" s="183">
        <f>C10*3+D10</f>
        <v>0</v>
      </c>
      <c r="J10" s="155">
        <f>-1*(D10+(E10*2))</f>
        <v>0</v>
      </c>
      <c r="K10" s="129">
        <v>0</v>
      </c>
      <c r="L10" s="143"/>
      <c r="M10" s="182"/>
      <c r="N10" s="154" t="str">
        <f>CAMPIONATO!AX16</f>
        <v>Daniele</v>
      </c>
      <c r="O10" s="155"/>
      <c r="P10" s="155"/>
      <c r="Q10" s="155"/>
      <c r="R10" s="155"/>
      <c r="S10" s="155"/>
      <c r="T10" s="155">
        <f>R10-S10</f>
        <v>0</v>
      </c>
      <c r="U10" s="183">
        <f>O10*3+P10</f>
        <v>0</v>
      </c>
      <c r="V10" s="155">
        <f>-1*(P10+(Q10*2))</f>
        <v>0</v>
      </c>
      <c r="W10" s="134">
        <v>0</v>
      </c>
      <c r="X10" s="143"/>
      <c r="Y10" s="143"/>
      <c r="Z10" s="143"/>
      <c r="AA10" s="143"/>
      <c r="AB10" s="143"/>
      <c r="AC10" s="143"/>
      <c r="AD10" s="143"/>
      <c r="AE10" s="143"/>
    </row>
    <row r="11" spans="1:31" ht="13.5" customHeight="1" thickBot="1" x14ac:dyDescent="0.3">
      <c r="A11" s="156"/>
      <c r="B11" s="154" t="str">
        <f>CAMPIONATO!AX10</f>
        <v>Enrico</v>
      </c>
      <c r="C11" s="155"/>
      <c r="D11" s="155"/>
      <c r="E11" s="155"/>
      <c r="F11" s="155"/>
      <c r="G11" s="155"/>
      <c r="H11" s="155">
        <f>F11-G11</f>
        <v>0</v>
      </c>
      <c r="I11" s="183">
        <f>C11*3+D11</f>
        <v>0</v>
      </c>
      <c r="J11" s="155">
        <f>-1*(D11+(E11*2))</f>
        <v>0</v>
      </c>
      <c r="K11" s="129">
        <v>0</v>
      </c>
      <c r="L11" s="143"/>
      <c r="M11" s="182"/>
      <c r="N11" s="154" t="str">
        <f>CAMPIONATO!AX18</f>
        <v>Fabrizio</v>
      </c>
      <c r="O11" s="155"/>
      <c r="P11" s="155"/>
      <c r="Q11" s="155"/>
      <c r="R11" s="155"/>
      <c r="S11" s="155"/>
      <c r="T11" s="155">
        <f>R11-S11</f>
        <v>0</v>
      </c>
      <c r="U11" s="183">
        <f>O11*3+P11</f>
        <v>0</v>
      </c>
      <c r="V11" s="155">
        <f>-1*(P11+(Q11*2))</f>
        <v>0</v>
      </c>
      <c r="W11" s="134">
        <v>0</v>
      </c>
      <c r="X11" s="143"/>
      <c r="Y11" s="143"/>
      <c r="Z11" s="143"/>
      <c r="AA11" s="143"/>
      <c r="AB11" s="143"/>
      <c r="AC11" s="143"/>
      <c r="AD11" s="143"/>
      <c r="AE11" s="143"/>
    </row>
    <row r="12" spans="1:31" ht="13" thickBot="1" x14ac:dyDescent="0.3">
      <c r="A12" s="151"/>
      <c r="B12" s="157" t="str">
        <f>CAMPIONATO!AX12</f>
        <v>Vincenzo</v>
      </c>
      <c r="C12" s="158"/>
      <c r="D12" s="158"/>
      <c r="E12" s="158"/>
      <c r="F12" s="158"/>
      <c r="G12" s="158"/>
      <c r="H12" s="158">
        <f>F12-G12</f>
        <v>0</v>
      </c>
      <c r="I12" s="184">
        <f>C12*3+D12</f>
        <v>0</v>
      </c>
      <c r="J12" s="184">
        <f>-1*(D12+(E12*2))</f>
        <v>0</v>
      </c>
      <c r="K12" s="141">
        <v>0</v>
      </c>
      <c r="L12" s="143"/>
      <c r="M12" s="185"/>
      <c r="N12" s="157" t="str">
        <f>CAMPIONATO!AX20</f>
        <v>Dario</v>
      </c>
      <c r="O12" s="158"/>
      <c r="P12" s="158"/>
      <c r="Q12" s="158"/>
      <c r="R12" s="158"/>
      <c r="S12" s="158"/>
      <c r="T12" s="158">
        <f>R12-S12</f>
        <v>0</v>
      </c>
      <c r="U12" s="184">
        <f>O12*3+P12</f>
        <v>0</v>
      </c>
      <c r="V12" s="184">
        <f>-1*(P12+(Q12*2))</f>
        <v>0</v>
      </c>
      <c r="W12" s="141">
        <v>0</v>
      </c>
      <c r="X12" s="143"/>
      <c r="Y12" s="143"/>
      <c r="Z12" s="143"/>
      <c r="AA12" s="143"/>
      <c r="AB12" s="143"/>
      <c r="AC12" s="143"/>
      <c r="AD12" s="143"/>
      <c r="AE12" s="143"/>
    </row>
    <row r="13" spans="1:31" ht="15" customHeight="1" x14ac:dyDescent="0.25">
      <c r="B13" s="159"/>
      <c r="C13" s="143"/>
      <c r="D13" s="143"/>
      <c r="E13" s="143"/>
      <c r="F13" s="159"/>
      <c r="G13" s="159"/>
      <c r="H13" s="143"/>
      <c r="I13" s="143"/>
      <c r="J13" s="143"/>
      <c r="K13" s="143"/>
      <c r="L13" s="143"/>
      <c r="M13" s="143"/>
      <c r="N13" s="143"/>
      <c r="X13" s="143"/>
      <c r="Y13" s="143"/>
      <c r="Z13" s="143"/>
      <c r="AA13" s="143"/>
      <c r="AB13" s="143"/>
      <c r="AC13" s="143"/>
      <c r="AD13" s="143"/>
      <c r="AE13" s="143"/>
    </row>
    <row r="14" spans="1:31" ht="15" customHeight="1" x14ac:dyDescent="0.25"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</row>
    <row r="15" spans="1:31" ht="15" customHeight="1" x14ac:dyDescent="0.25"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</row>
    <row r="16" spans="1:31" ht="15" customHeight="1" x14ac:dyDescent="0.25">
      <c r="B16" s="476" t="s">
        <v>69</v>
      </c>
      <c r="C16" s="476"/>
      <c r="D16" s="476"/>
      <c r="E16" s="476"/>
      <c r="F16" s="476"/>
      <c r="G16" s="476"/>
      <c r="H16" s="143"/>
      <c r="I16" s="143"/>
      <c r="J16" s="143"/>
      <c r="K16" s="143"/>
      <c r="L16" s="143"/>
      <c r="M16" s="143"/>
      <c r="N16" s="476" t="s">
        <v>69</v>
      </c>
      <c r="O16" s="476"/>
      <c r="P16" s="476"/>
      <c r="Q16" s="476"/>
      <c r="R16" s="476"/>
      <c r="S16" s="476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</row>
    <row r="17" spans="1:37" ht="15" customHeight="1" x14ac:dyDescent="0.25">
      <c r="B17" s="143"/>
      <c r="C17" s="143"/>
      <c r="D17" s="143"/>
      <c r="E17" s="143"/>
      <c r="F17" s="477" t="s">
        <v>70</v>
      </c>
      <c r="G17" s="477"/>
      <c r="H17" s="478" t="s">
        <v>71</v>
      </c>
      <c r="I17" s="478"/>
      <c r="J17" s="143"/>
      <c r="K17" s="143"/>
      <c r="L17" s="143"/>
      <c r="M17" s="143"/>
      <c r="N17" s="143"/>
      <c r="O17" s="143"/>
      <c r="P17" s="143"/>
      <c r="Q17" s="143"/>
      <c r="R17" s="477" t="s">
        <v>70</v>
      </c>
      <c r="S17" s="477"/>
      <c r="T17" s="478" t="s">
        <v>71</v>
      </c>
      <c r="U17" s="478"/>
      <c r="V17" s="195"/>
      <c r="W17" s="143"/>
      <c r="X17" s="143"/>
      <c r="Y17" s="143"/>
      <c r="Z17" s="143"/>
      <c r="AA17" s="143"/>
      <c r="AB17" s="143"/>
      <c r="AC17" s="143"/>
      <c r="AD17" s="143"/>
      <c r="AE17" s="143"/>
    </row>
    <row r="18" spans="1:37" ht="15" customHeight="1" x14ac:dyDescent="0.25">
      <c r="B18" s="160" t="str">
        <f>B9</f>
        <v>Eugenio</v>
      </c>
      <c r="C18" s="160" t="str">
        <f>B12</f>
        <v>Vincenzo</v>
      </c>
      <c r="D18" s="161"/>
      <c r="E18" s="143"/>
      <c r="F18" s="162"/>
      <c r="G18" s="162"/>
      <c r="H18" s="163"/>
      <c r="I18" s="163"/>
      <c r="J18" s="143"/>
      <c r="K18" s="143"/>
      <c r="L18" s="143"/>
      <c r="M18" s="143"/>
      <c r="N18" s="160" t="str">
        <f>N9</f>
        <v>Molina</v>
      </c>
      <c r="O18" s="160" t="str">
        <f>N12</f>
        <v>Dario</v>
      </c>
      <c r="P18" s="309"/>
      <c r="Q18" s="143"/>
      <c r="R18" s="162"/>
      <c r="S18" s="162"/>
      <c r="T18" s="163"/>
      <c r="U18" s="163"/>
      <c r="V18" s="51"/>
      <c r="W18" s="143"/>
      <c r="X18" s="143"/>
      <c r="Y18" s="143"/>
      <c r="Z18" s="143"/>
      <c r="AA18" s="143"/>
      <c r="AB18" s="143"/>
      <c r="AC18" s="143"/>
      <c r="AD18" s="143"/>
      <c r="AE18" s="143"/>
    </row>
    <row r="19" spans="1:37" ht="15" customHeight="1" x14ac:dyDescent="0.25">
      <c r="B19" s="160" t="str">
        <f>B10</f>
        <v>Riccardo</v>
      </c>
      <c r="C19" s="160" t="str">
        <f>B11</f>
        <v>Enrico</v>
      </c>
      <c r="D19" s="161"/>
      <c r="E19" s="143"/>
      <c r="F19" s="162"/>
      <c r="G19" s="162"/>
      <c r="H19" s="163"/>
      <c r="I19" s="163"/>
      <c r="J19" s="143"/>
      <c r="K19" s="143"/>
      <c r="L19" s="143"/>
      <c r="M19" s="143"/>
      <c r="N19" s="160" t="str">
        <f>N10</f>
        <v>Daniele</v>
      </c>
      <c r="O19" s="160" t="str">
        <f>N11</f>
        <v>Fabrizio</v>
      </c>
      <c r="P19" s="161"/>
      <c r="Q19" s="143"/>
      <c r="R19" s="162"/>
      <c r="S19" s="162"/>
      <c r="T19" s="163"/>
      <c r="U19" s="163"/>
      <c r="V19" s="51"/>
      <c r="W19" s="143"/>
      <c r="X19" s="143"/>
      <c r="Y19" s="143"/>
      <c r="Z19" s="143"/>
      <c r="AA19" s="143"/>
      <c r="AB19" s="143"/>
      <c r="AC19" s="143"/>
      <c r="AD19" s="143"/>
      <c r="AE19" s="143"/>
    </row>
    <row r="20" spans="1:37" ht="15" customHeight="1" x14ac:dyDescent="0.25">
      <c r="A20" s="43" t="str">
        <f>IF(F18&gt;G18,1,"")</f>
        <v/>
      </c>
      <c r="B20" s="164" t="str">
        <f>IF(AND(F18=G18,F18&lt;&gt;"",G18&lt;&gt;""),1,"")</f>
        <v/>
      </c>
      <c r="C20" s="164" t="str">
        <f>IF(F18&lt;G18,1,"")</f>
        <v/>
      </c>
      <c r="D20" s="164" t="str">
        <f>IF(H18&gt;I18,1,"")</f>
        <v/>
      </c>
      <c r="E20" s="164" t="str">
        <f>IF(AND(H18=I18,H18&lt;&gt;"",I18&lt;&gt;""),1,"")</f>
        <v/>
      </c>
      <c r="F20" s="164" t="str">
        <f>IF(H18&lt;I18,1,"")</f>
        <v/>
      </c>
      <c r="G20" s="164"/>
      <c r="H20" s="164"/>
      <c r="I20" s="164"/>
      <c r="J20" s="164"/>
      <c r="K20" s="164"/>
      <c r="L20" s="143"/>
      <c r="M20" s="164" t="str">
        <f>IF(R18&gt;S18,1,"")</f>
        <v/>
      </c>
      <c r="N20" s="164" t="str">
        <f>IF(AND(R18=S18,R18&lt;&gt;"",S18&lt;&gt;""),1,"")</f>
        <v/>
      </c>
      <c r="O20" s="164" t="str">
        <f>IF(R18&lt;S18,1,"")</f>
        <v/>
      </c>
      <c r="P20" s="164" t="str">
        <f>IF(T18&gt;U18,1,"")</f>
        <v/>
      </c>
      <c r="Q20" s="164" t="str">
        <f>IF(AND(T18=U18,T18&lt;&gt;"",U18&lt;&gt;""),1,"")</f>
        <v/>
      </c>
      <c r="R20" s="164" t="str">
        <f>IF(T18&lt;U18,1,"")</f>
        <v/>
      </c>
      <c r="S20" s="164"/>
      <c r="T20" s="164"/>
      <c r="U20" s="164"/>
      <c r="V20" s="164"/>
      <c r="W20" s="164"/>
      <c r="X20" s="143"/>
      <c r="Y20" s="143"/>
      <c r="Z20" s="143"/>
      <c r="AA20" s="143"/>
      <c r="AB20" s="143"/>
      <c r="AC20" s="143"/>
      <c r="AD20" s="143"/>
      <c r="AE20" s="143"/>
    </row>
    <row r="21" spans="1:37" ht="15" customHeight="1" x14ac:dyDescent="0.35">
      <c r="A21" s="43" t="str">
        <f>IF(F19&gt;G19,1,"")</f>
        <v/>
      </c>
      <c r="B21" s="164" t="str">
        <f>IF(AND(F19=G19,F19&lt;&gt;"",G19&lt;&gt;""),1,"")</f>
        <v/>
      </c>
      <c r="C21" s="164" t="str">
        <f>IF(F19&lt;G19,1,"")</f>
        <v/>
      </c>
      <c r="D21" s="164" t="str">
        <f>IF(H19&gt;I19,1,"")</f>
        <v/>
      </c>
      <c r="E21" s="164" t="str">
        <f>IF(AND(H19=I19,H19&lt;&gt;"",I19&lt;&gt;""),1,"")</f>
        <v/>
      </c>
      <c r="F21" s="164" t="str">
        <f>IF(H19&lt;I19,1,"")</f>
        <v/>
      </c>
      <c r="G21" s="164" t="str">
        <f>IF(AND(B21=A21,A21=1),1,"")</f>
        <v/>
      </c>
      <c r="H21" s="164" t="str">
        <f>IF(C21=3,1,"")</f>
        <v/>
      </c>
      <c r="I21" s="164" t="str">
        <f>IF(D21=3,1,"")</f>
        <v/>
      </c>
      <c r="J21" s="164" t="str">
        <f>IF(AND(C21=D21,D21=1),1,"")</f>
        <v/>
      </c>
      <c r="K21" s="164"/>
      <c r="L21" s="143"/>
      <c r="M21" s="164" t="str">
        <f>IF(R19&gt;S19,1,"")</f>
        <v/>
      </c>
      <c r="N21" s="164" t="str">
        <f>IF(AND(R19=S19,R19&lt;&gt;"",S19&lt;&gt;""),1,"")</f>
        <v/>
      </c>
      <c r="O21" s="164" t="str">
        <f>IF(R19&lt;S19,1,"")</f>
        <v/>
      </c>
      <c r="P21" s="164" t="str">
        <f>IF(T19&gt;U19,1,"")</f>
        <v/>
      </c>
      <c r="Q21" s="164" t="str">
        <f>IF(AND(T19=U19,T19&lt;&gt;"",U19&lt;&gt;""),1,"")</f>
        <v/>
      </c>
      <c r="R21" s="164" t="str">
        <f>IF(T19&lt;U19,1,"")</f>
        <v/>
      </c>
      <c r="S21" s="164" t="str">
        <f>IF(AND(N21=M21,M21=1),1,"")</f>
        <v/>
      </c>
      <c r="T21" s="164" t="str">
        <f>IF(O21=3,1,"")</f>
        <v/>
      </c>
      <c r="U21" s="164" t="str">
        <f>IF(P21=3,1,"")</f>
        <v/>
      </c>
      <c r="V21" s="164" t="str">
        <f>IF(AND(O21=P21,P21=1),1,"")</f>
        <v/>
      </c>
      <c r="W21" s="164"/>
      <c r="X21" s="143"/>
      <c r="Y21" s="51" t="s">
        <v>72</v>
      </c>
      <c r="Z21" s="51"/>
      <c r="AA21" s="51"/>
      <c r="AB21" s="51"/>
      <c r="AC21" s="51"/>
      <c r="AD21" s="196"/>
      <c r="AE21" s="143"/>
      <c r="AG21" s="202"/>
      <c r="AH21" s="202"/>
      <c r="AI21" s="202"/>
    </row>
    <row r="22" spans="1:37" ht="15" customHeight="1" x14ac:dyDescent="0.35">
      <c r="A22" s="43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96"/>
      <c r="Y22" s="196"/>
      <c r="Z22" s="143"/>
      <c r="AA22" s="143"/>
      <c r="AB22" s="477" t="s">
        <v>70</v>
      </c>
      <c r="AC22" s="477"/>
      <c r="AD22" s="478" t="s">
        <v>71</v>
      </c>
      <c r="AE22" s="478"/>
      <c r="AG22" s="203" t="s">
        <v>73</v>
      </c>
      <c r="AH22" s="204"/>
      <c r="AI22" s="202"/>
    </row>
    <row r="23" spans="1:37" ht="15" customHeight="1" x14ac:dyDescent="0.4">
      <c r="B23" s="476" t="s">
        <v>74</v>
      </c>
      <c r="C23" s="476"/>
      <c r="D23" s="476"/>
      <c r="E23" s="476"/>
      <c r="F23" s="476"/>
      <c r="G23" s="476"/>
      <c r="H23" s="143"/>
      <c r="I23" s="143"/>
      <c r="J23" s="143"/>
      <c r="K23" s="143"/>
      <c r="L23" s="143"/>
      <c r="M23" s="143"/>
      <c r="N23" s="476" t="s">
        <v>74</v>
      </c>
      <c r="O23" s="476"/>
      <c r="P23" s="476"/>
      <c r="Q23" s="476"/>
      <c r="R23" s="476"/>
      <c r="S23" s="476"/>
      <c r="T23" s="143"/>
      <c r="U23" s="143"/>
      <c r="V23" s="143"/>
      <c r="W23" s="143"/>
      <c r="X23" s="160" t="s">
        <v>255</v>
      </c>
      <c r="Y23" s="160" t="str">
        <f>B39</f>
        <v>Vincenzo</v>
      </c>
      <c r="Z23" s="143"/>
      <c r="AA23" s="143"/>
      <c r="AB23" s="197">
        <v>2</v>
      </c>
      <c r="AC23" s="197">
        <v>3</v>
      </c>
      <c r="AD23" s="198"/>
      <c r="AE23" s="198"/>
      <c r="AG23" s="205"/>
      <c r="AH23" s="205"/>
      <c r="AI23" s="202"/>
      <c r="AK23" s="113"/>
    </row>
    <row r="24" spans="1:37" ht="15" customHeight="1" x14ac:dyDescent="0.35">
      <c r="B24" s="143"/>
      <c r="C24" s="143"/>
      <c r="D24" s="143"/>
      <c r="E24" s="143"/>
      <c r="F24" s="477" t="s">
        <v>70</v>
      </c>
      <c r="G24" s="477"/>
      <c r="H24" s="478" t="s">
        <v>71</v>
      </c>
      <c r="I24" s="478"/>
      <c r="J24" s="143"/>
      <c r="K24" s="143"/>
      <c r="L24" s="143"/>
      <c r="M24" s="143"/>
      <c r="N24" s="143"/>
      <c r="O24" s="143"/>
      <c r="P24" s="143"/>
      <c r="Q24" s="143"/>
      <c r="R24" s="477" t="s">
        <v>70</v>
      </c>
      <c r="S24" s="477"/>
      <c r="T24" s="478" t="s">
        <v>71</v>
      </c>
      <c r="U24" s="478"/>
      <c r="V24" s="195"/>
      <c r="W24" s="143"/>
      <c r="X24" s="160" t="str">
        <f>B40</f>
        <v>Enrico</v>
      </c>
      <c r="Y24" s="160" t="str">
        <f>N39</f>
        <v>Molina</v>
      </c>
      <c r="Z24" s="143"/>
      <c r="AA24" s="143"/>
      <c r="AB24" s="197">
        <v>2</v>
      </c>
      <c r="AC24" s="197">
        <v>0</v>
      </c>
      <c r="AD24" s="198"/>
      <c r="AE24" s="198"/>
      <c r="AG24" s="205"/>
      <c r="AH24" s="205"/>
      <c r="AI24" s="202"/>
    </row>
    <row r="25" spans="1:37" ht="15" customHeight="1" x14ac:dyDescent="0.35">
      <c r="B25" s="160" t="str">
        <f>B11</f>
        <v>Enrico</v>
      </c>
      <c r="C25" s="160" t="str">
        <f>B9</f>
        <v>Eugenio</v>
      </c>
      <c r="D25" s="161"/>
      <c r="E25" s="143"/>
      <c r="F25" s="162"/>
      <c r="G25" s="162"/>
      <c r="H25" s="163"/>
      <c r="I25" s="163"/>
      <c r="J25" s="143"/>
      <c r="K25" s="143"/>
      <c r="L25" s="143"/>
      <c r="M25" s="143"/>
      <c r="N25" s="160" t="str">
        <f>N11</f>
        <v>Fabrizio</v>
      </c>
      <c r="O25" s="160" t="str">
        <f>N9</f>
        <v>Molina</v>
      </c>
      <c r="P25" s="161"/>
      <c r="Q25" s="143"/>
      <c r="R25" s="162"/>
      <c r="S25" s="162"/>
      <c r="T25" s="163"/>
      <c r="U25" s="163"/>
      <c r="V25" s="51"/>
      <c r="W25" s="43">
        <f>IF(AB23&gt;AC23,Premi!$H$5,0)</f>
        <v>0</v>
      </c>
      <c r="X25" s="164">
        <f>IF(AND(AB23=AC23,AB23&lt;&gt;"",AC23&lt;&gt;""),Premi!$H$4,0)</f>
        <v>0</v>
      </c>
      <c r="Y25" s="164">
        <f>IF(AB23&lt;AC23,Premi!$H$5,0)</f>
        <v>-2</v>
      </c>
      <c r="Z25" s="164">
        <f>IF(AD23&gt;AE23,Premi!$H$5,0)</f>
        <v>0</v>
      </c>
      <c r="AA25" s="164">
        <f>IF(AND(AD23=AE23,AD23&lt;&gt;"",AE23&lt;&gt;""),Premi!$H$4,0)</f>
        <v>0</v>
      </c>
      <c r="AB25" s="164">
        <f>IF(AD23&lt;AE23,Premi!$H$5,0)</f>
        <v>0</v>
      </c>
      <c r="AC25" s="143"/>
      <c r="AD25" s="143"/>
      <c r="AE25" s="143"/>
      <c r="AH25" s="202"/>
      <c r="AI25" s="202"/>
    </row>
    <row r="26" spans="1:37" ht="15" customHeight="1" x14ac:dyDescent="0.35">
      <c r="B26" s="160" t="str">
        <f>B12</f>
        <v>Vincenzo</v>
      </c>
      <c r="C26" s="160" t="str">
        <f>B10</f>
        <v>Riccardo</v>
      </c>
      <c r="D26" s="161"/>
      <c r="E26" s="143"/>
      <c r="F26" s="162"/>
      <c r="G26" s="162"/>
      <c r="H26" s="163"/>
      <c r="I26" s="163"/>
      <c r="J26" s="143"/>
      <c r="K26" s="143"/>
      <c r="L26" s="143"/>
      <c r="M26" s="143"/>
      <c r="N26" s="160" t="str">
        <f>N12</f>
        <v>Dario</v>
      </c>
      <c r="O26" s="160" t="str">
        <f>N10</f>
        <v>Daniele</v>
      </c>
      <c r="P26" s="161"/>
      <c r="Q26" s="143"/>
      <c r="R26" s="162"/>
      <c r="S26" s="162"/>
      <c r="T26" s="163"/>
      <c r="U26" s="163"/>
      <c r="V26" s="51"/>
      <c r="W26" s="43">
        <f>IF(AB24&gt;AC24,Premi!$H$5,0)</f>
        <v>-2</v>
      </c>
      <c r="X26" s="164">
        <f>IF(AND(AB24=AC24,AB24&lt;&gt;"",AC24&lt;&gt;""),Premi!$H$4,0)</f>
        <v>0</v>
      </c>
      <c r="Y26" s="164">
        <f>IF(AB24&lt;AC24,Premi!$H$5,0)</f>
        <v>0</v>
      </c>
      <c r="Z26" s="164">
        <f>IF(AD24&gt;AE24,Premi!$H$5,0)</f>
        <v>0</v>
      </c>
      <c r="AA26" s="164">
        <f>IF(AND(AD24=AE24,AD24&lt;&gt;"",AE24&lt;&gt;""),Premi!$H$4,0)</f>
        <v>0</v>
      </c>
      <c r="AB26" s="164">
        <f>IF(AD24&lt;AE24,Premi!$H$5,0)</f>
        <v>0</v>
      </c>
      <c r="AC26" s="143"/>
      <c r="AD26" s="196"/>
      <c r="AE26" s="143"/>
      <c r="AG26" s="202"/>
      <c r="AH26" s="206"/>
      <c r="AI26" s="202"/>
    </row>
    <row r="27" spans="1:37" ht="15" customHeight="1" x14ac:dyDescent="0.35">
      <c r="A27" s="43" t="str">
        <f>IF(F25&gt;G25,1,"")</f>
        <v/>
      </c>
      <c r="B27" s="164" t="str">
        <f>IF(AND(F25=G25,F25&lt;&gt;"",G25&lt;&gt;""),1,"")</f>
        <v/>
      </c>
      <c r="C27" s="164" t="str">
        <f>IF(F25&lt;G25,1,"")</f>
        <v/>
      </c>
      <c r="D27" s="164" t="str">
        <f>IF(H25&gt;I25,1,"")</f>
        <v/>
      </c>
      <c r="E27" s="164" t="str">
        <f>IF(AND(H25=I25,H25&lt;&gt;"",I25&lt;&gt;""),1,"")</f>
        <v/>
      </c>
      <c r="F27" s="164" t="str">
        <f>IF(H25&lt;I25,1,"")</f>
        <v/>
      </c>
      <c r="G27" s="164"/>
      <c r="H27" s="164"/>
      <c r="I27" s="164"/>
      <c r="J27" s="164"/>
      <c r="K27" s="164"/>
      <c r="L27" s="164"/>
      <c r="M27" s="164" t="str">
        <f>IF(R25&gt;S25,1,"")</f>
        <v/>
      </c>
      <c r="N27" s="164" t="str">
        <f>IF(AND(R25=S25,R25&lt;&gt;"",S25&lt;&gt;""),1,"")</f>
        <v/>
      </c>
      <c r="O27" s="164" t="str">
        <f>IF(R25&lt;S25,1,"")</f>
        <v/>
      </c>
      <c r="P27" s="164" t="str">
        <f>IF(T25&gt;U25,1,"")</f>
        <v/>
      </c>
      <c r="Q27" s="164" t="str">
        <f>IF(AND(T25=U25,T25&lt;&gt;"",U25&lt;&gt;""),1,"")</f>
        <v/>
      </c>
      <c r="R27" s="164" t="str">
        <f>IF(T25&lt;U25,1,"")</f>
        <v/>
      </c>
      <c r="S27" s="164"/>
      <c r="T27" s="164"/>
      <c r="U27" s="164"/>
      <c r="V27" s="164"/>
      <c r="W27" s="164"/>
      <c r="X27" s="143"/>
      <c r="Y27" s="51" t="s">
        <v>75</v>
      </c>
      <c r="Z27" s="51"/>
      <c r="AA27" s="51"/>
      <c r="AB27" s="51"/>
      <c r="AC27" s="51"/>
      <c r="AD27" s="51"/>
      <c r="AE27" s="143"/>
      <c r="AH27" s="206"/>
      <c r="AI27" s="202"/>
    </row>
    <row r="28" spans="1:37" ht="15" customHeight="1" x14ac:dyDescent="0.35">
      <c r="A28" s="43" t="str">
        <f>IF(F26&gt;G26,1,"")</f>
        <v/>
      </c>
      <c r="B28" s="164" t="str">
        <f>IF(AND(F26=G26,F26&lt;&gt;"",G26&lt;&gt;""),1,"")</f>
        <v/>
      </c>
      <c r="C28" s="164" t="str">
        <f>IF(F26&lt;G26,1,"")</f>
        <v/>
      </c>
      <c r="D28" s="164" t="str">
        <f>IF(H26&gt;I26,1,"")</f>
        <v/>
      </c>
      <c r="E28" s="164" t="str">
        <f>IF(AND(H26=I26,H26&lt;&gt;"",I26&lt;&gt;""),1,"")</f>
        <v/>
      </c>
      <c r="F28" s="164" t="str">
        <f>IF(H26&lt;I26,1,"")</f>
        <v/>
      </c>
      <c r="G28" s="164" t="str">
        <f>IF(AND(B28=A28,A28=1),1,"")</f>
        <v/>
      </c>
      <c r="H28" s="164" t="str">
        <f>IF(C28=3,1,"")</f>
        <v/>
      </c>
      <c r="I28" s="164" t="str">
        <f>IF(D28=3,1,"")</f>
        <v/>
      </c>
      <c r="J28" s="164" t="str">
        <f>IF(AND(C28=D28,D28=1),1,"")</f>
        <v/>
      </c>
      <c r="K28" s="164"/>
      <c r="L28" s="164"/>
      <c r="M28" s="164" t="str">
        <f>IF(R26&gt;S26,1,"")</f>
        <v/>
      </c>
      <c r="N28" s="164" t="str">
        <f>IF(AND(R26=S26,R26&lt;&gt;"",S26&lt;&gt;""),1,"")</f>
        <v/>
      </c>
      <c r="O28" s="164" t="str">
        <f>IF(R26&lt;S26,1,"")</f>
        <v/>
      </c>
      <c r="P28" s="164" t="str">
        <f>IF(T26&gt;U26,1,"")</f>
        <v/>
      </c>
      <c r="Q28" s="164" t="str">
        <f>IF(AND(T26=U26,T26&lt;&gt;"",U26&lt;&gt;""),1,"")</f>
        <v/>
      </c>
      <c r="R28" s="164" t="str">
        <f>IF(T26&lt;U26,1,"")</f>
        <v/>
      </c>
      <c r="S28" s="164" t="str">
        <f>IF(AND(N28=M28,M28=1),1,"")</f>
        <v/>
      </c>
      <c r="T28" s="164" t="str">
        <f>IF(O28=3,1,"")</f>
        <v/>
      </c>
      <c r="U28" s="164" t="str">
        <f>IF(P28=3,1,"")</f>
        <v/>
      </c>
      <c r="V28" s="164" t="str">
        <f>IF(AND(O28=P28,P28=1),1,"")</f>
        <v/>
      </c>
      <c r="W28" s="164"/>
      <c r="X28" s="196"/>
      <c r="Y28" s="143"/>
      <c r="Z28" s="143"/>
      <c r="AA28" s="143"/>
      <c r="AB28" s="477" t="s">
        <v>70</v>
      </c>
      <c r="AC28" s="477"/>
      <c r="AD28" s="478" t="s">
        <v>71</v>
      </c>
      <c r="AE28" s="478"/>
      <c r="AG28" s="203" t="s">
        <v>73</v>
      </c>
      <c r="AH28" s="204"/>
      <c r="AI28" s="202"/>
    </row>
    <row r="29" spans="1:37" ht="15" customHeight="1" x14ac:dyDescent="0.35">
      <c r="A29" s="4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0" t="str">
        <f>Y23</f>
        <v>Vincenzo</v>
      </c>
      <c r="Y29" s="160" t="str">
        <f>X24</f>
        <v>Enrico</v>
      </c>
      <c r="Z29" s="143"/>
      <c r="AA29" s="143"/>
      <c r="AB29" s="199">
        <v>1</v>
      </c>
      <c r="AC29" s="199">
        <v>3</v>
      </c>
      <c r="AD29" s="200"/>
      <c r="AE29" s="200"/>
      <c r="AG29" s="205"/>
      <c r="AH29" s="205"/>
      <c r="AI29" s="202"/>
    </row>
    <row r="30" spans="1:37" ht="15" customHeight="1" x14ac:dyDescent="0.25">
      <c r="B30" s="476" t="s">
        <v>76</v>
      </c>
      <c r="C30" s="476"/>
      <c r="D30" s="476"/>
      <c r="E30" s="476"/>
      <c r="F30" s="476"/>
      <c r="G30" s="476"/>
      <c r="H30" s="143"/>
      <c r="I30" s="143"/>
      <c r="J30" s="143"/>
      <c r="K30" s="143"/>
      <c r="L30" s="143"/>
      <c r="M30" s="143"/>
      <c r="N30" s="476" t="s">
        <v>76</v>
      </c>
      <c r="O30" s="476"/>
      <c r="P30" s="476"/>
      <c r="Q30" s="476"/>
      <c r="R30" s="476"/>
      <c r="S30" s="476"/>
      <c r="T30" s="143"/>
      <c r="U30" s="143"/>
      <c r="V30" s="143"/>
      <c r="W30" s="164"/>
      <c r="X30" s="143"/>
      <c r="Y30" s="143"/>
      <c r="Z30" s="143"/>
      <c r="AA30" s="143"/>
      <c r="AB30" s="143"/>
      <c r="AC30" s="143"/>
      <c r="AD30" s="143"/>
      <c r="AE30" s="143"/>
    </row>
    <row r="31" spans="1:37" ht="15" customHeight="1" x14ac:dyDescent="0.25">
      <c r="B31" s="143"/>
      <c r="C31" s="143"/>
      <c r="D31" s="143"/>
      <c r="E31" s="143"/>
      <c r="F31" s="477" t="s">
        <v>70</v>
      </c>
      <c r="G31" s="477"/>
      <c r="H31" s="478" t="s">
        <v>71</v>
      </c>
      <c r="I31" s="478"/>
      <c r="J31" s="143"/>
      <c r="K31" s="143"/>
      <c r="L31" s="143"/>
      <c r="M31" s="143"/>
      <c r="N31" s="143"/>
      <c r="O31" s="143"/>
      <c r="P31" s="143"/>
      <c r="Q31" s="143"/>
      <c r="R31" s="477" t="s">
        <v>70</v>
      </c>
      <c r="S31" s="477"/>
      <c r="T31" s="478" t="s">
        <v>71</v>
      </c>
      <c r="U31" s="478"/>
      <c r="V31" s="195"/>
      <c r="W31" s="43">
        <f>IF(AB29&gt;AC29,Premi!$H$5,0)</f>
        <v>0</v>
      </c>
      <c r="X31" s="164">
        <f>IF(AND(AB29=AC29,AB29&lt;&gt;"",AC29&lt;&gt;""),Premi!$H$4,0)</f>
        <v>0</v>
      </c>
      <c r="Y31" s="164">
        <f>IF(AB29&lt;AC29,Premi!$H$5,0)</f>
        <v>-2</v>
      </c>
      <c r="Z31" s="164">
        <f>IF(AD29&gt;AE29,Premi!$H$5,0)</f>
        <v>0</v>
      </c>
      <c r="AA31" s="164">
        <f>IF(AND(AD29=AE29,AD29&lt;&gt;"",AE29&lt;&gt;""),Premi!$H$4,0)</f>
        <v>0</v>
      </c>
      <c r="AB31" s="164">
        <f>IF(AD29&lt;AE29,Premi!$H$5,0)</f>
        <v>0</v>
      </c>
      <c r="AC31" s="143"/>
      <c r="AD31" s="143"/>
      <c r="AE31" s="143"/>
    </row>
    <row r="32" spans="1:37" ht="15" customHeight="1" x14ac:dyDescent="0.25">
      <c r="B32" s="160" t="str">
        <f>B12</f>
        <v>Vincenzo</v>
      </c>
      <c r="C32" s="160" t="str">
        <f>B11</f>
        <v>Enrico</v>
      </c>
      <c r="D32" s="161"/>
      <c r="E32" s="143"/>
      <c r="F32" s="162"/>
      <c r="G32" s="162"/>
      <c r="H32" s="163"/>
      <c r="I32" s="163"/>
      <c r="J32" s="143"/>
      <c r="K32" s="143"/>
      <c r="L32" s="143"/>
      <c r="M32" s="143"/>
      <c r="N32" s="160" t="str">
        <f>N12</f>
        <v>Dario</v>
      </c>
      <c r="O32" s="160" t="str">
        <f>N11</f>
        <v>Fabrizio</v>
      </c>
      <c r="P32" s="161"/>
      <c r="Q32" s="143"/>
      <c r="R32" s="162"/>
      <c r="S32" s="162"/>
      <c r="T32" s="163"/>
      <c r="U32" s="163"/>
      <c r="V32" s="51"/>
      <c r="W32" s="143"/>
      <c r="X32" s="143"/>
      <c r="Y32" s="143"/>
      <c r="Z32" s="143"/>
      <c r="AA32" s="143"/>
      <c r="AB32" s="143"/>
      <c r="AC32" s="143"/>
      <c r="AD32" s="143"/>
      <c r="AE32" s="143"/>
    </row>
    <row r="33" spans="1:31" ht="15" customHeight="1" x14ac:dyDescent="0.25">
      <c r="B33" s="160" t="str">
        <f>B9</f>
        <v>Eugenio</v>
      </c>
      <c r="C33" s="160" t="str">
        <f>B10</f>
        <v>Riccardo</v>
      </c>
      <c r="D33" s="161"/>
      <c r="E33" s="143"/>
      <c r="F33" s="162"/>
      <c r="G33" s="162"/>
      <c r="H33" s="163"/>
      <c r="I33" s="163"/>
      <c r="J33" s="143"/>
      <c r="K33" s="143"/>
      <c r="L33" s="143"/>
      <c r="M33" s="143"/>
      <c r="N33" s="160" t="str">
        <f>N9</f>
        <v>Molina</v>
      </c>
      <c r="O33" s="160" t="str">
        <f>N10</f>
        <v>Daniele</v>
      </c>
      <c r="P33" s="161"/>
      <c r="Q33" s="143"/>
      <c r="R33" s="162"/>
      <c r="S33" s="162"/>
      <c r="T33" s="163"/>
      <c r="U33" s="163"/>
      <c r="V33" s="51"/>
      <c r="W33" s="143"/>
      <c r="X33" s="143"/>
      <c r="Y33" s="143"/>
      <c r="Z33" s="143"/>
      <c r="AA33" s="143"/>
      <c r="AB33" s="143"/>
      <c r="AC33" s="143"/>
      <c r="AD33" s="143"/>
      <c r="AE33" s="143"/>
    </row>
    <row r="34" spans="1:31" ht="21" customHeight="1" x14ac:dyDescent="0.25">
      <c r="A34" s="43" t="str">
        <f>IF(F32&gt;G32,1,"")</f>
        <v/>
      </c>
      <c r="B34" s="164" t="str">
        <f>IF(AND(F32=G32,F32&lt;&gt;"",G32&lt;&gt;""),1,"")</f>
        <v/>
      </c>
      <c r="C34" s="164" t="str">
        <f>IF(F32&lt;G32,1,"")</f>
        <v/>
      </c>
      <c r="D34" s="164" t="str">
        <f>IF(H32&gt;I32,1,"")</f>
        <v/>
      </c>
      <c r="E34" s="164" t="str">
        <f>IF(AND(H32=I32,H32&lt;&gt;"",I32&lt;&gt;""),1,"")</f>
        <v/>
      </c>
      <c r="F34" s="164" t="str">
        <f>IF(H32&lt;I32,1,"")</f>
        <v/>
      </c>
      <c r="G34" s="164"/>
      <c r="H34" s="164"/>
      <c r="I34" s="164"/>
      <c r="J34" s="164"/>
      <c r="K34" s="164"/>
      <c r="L34" s="164"/>
      <c r="M34" s="164" t="str">
        <f>IF(R32&gt;S32,1,"")</f>
        <v/>
      </c>
      <c r="N34" s="164" t="str">
        <f>IF(AND(R32=S32,R32&lt;&gt;"",S32&lt;&gt;""),1,"")</f>
        <v/>
      </c>
      <c r="O34" s="164" t="str">
        <f>IF(R32&lt;S32,1,"")</f>
        <v/>
      </c>
      <c r="P34" s="164" t="str">
        <f>IF(T32&gt;U32,1,"")</f>
        <v/>
      </c>
      <c r="Q34" s="164" t="str">
        <f>IF(AND(T32=U32,T32&lt;&gt;"",U32&lt;&gt;""),1,"")</f>
        <v/>
      </c>
      <c r="R34" s="164" t="str">
        <f>IF(T32&lt;U32,1,"")</f>
        <v/>
      </c>
      <c r="S34" s="164"/>
      <c r="T34" s="164"/>
      <c r="U34" s="164"/>
      <c r="V34" s="164"/>
      <c r="W34" s="164"/>
      <c r="X34" s="143"/>
      <c r="Y34" s="479" t="s">
        <v>77</v>
      </c>
      <c r="Z34" s="480"/>
      <c r="AA34" s="480"/>
      <c r="AB34" s="480"/>
      <c r="AC34" s="481"/>
      <c r="AD34" s="143"/>
      <c r="AE34" s="143"/>
    </row>
    <row r="35" spans="1:31" ht="15" customHeight="1" x14ac:dyDescent="0.25">
      <c r="A35" s="43" t="str">
        <f>IF(F33&gt;G33,1,"")</f>
        <v/>
      </c>
      <c r="B35" s="164" t="str">
        <f>IF(AND(F33=G33,F33&lt;&gt;"",G33&lt;&gt;""),1,"")</f>
        <v/>
      </c>
      <c r="C35" s="164" t="str">
        <f>IF(F33&lt;G33,1,"")</f>
        <v/>
      </c>
      <c r="D35" s="164" t="str">
        <f>IF(H33&gt;I33,1,"")</f>
        <v/>
      </c>
      <c r="E35" s="164" t="str">
        <f>IF(AND(H33=I33,H33&lt;&gt;"",I33&lt;&gt;""),1,"")</f>
        <v/>
      </c>
      <c r="F35" s="164" t="str">
        <f>IF(H33&lt;I33,1,"")</f>
        <v/>
      </c>
      <c r="G35" s="164" t="str">
        <f>IF(AND(B35=A35,A35=1),1,"")</f>
        <v/>
      </c>
      <c r="H35" s="164" t="str">
        <f>IF(C35=3,1,"")</f>
        <v/>
      </c>
      <c r="I35" s="164" t="str">
        <f>IF(D35=3,1,"")</f>
        <v/>
      </c>
      <c r="J35" s="164" t="str">
        <f>IF(AND(C35=D35,D35=1),1,"")</f>
        <v/>
      </c>
      <c r="K35" s="164"/>
      <c r="L35" s="164"/>
      <c r="M35" s="164" t="str">
        <f>IF(R33&gt;S33,1,"")</f>
        <v/>
      </c>
      <c r="N35" s="164" t="str">
        <f>IF(AND(R33=S33,R33&lt;&gt;"",S33&lt;&gt;""),1,"")</f>
        <v/>
      </c>
      <c r="O35" s="164" t="str">
        <f>IF(R33&lt;S33,1,"")</f>
        <v/>
      </c>
      <c r="P35" s="164" t="str">
        <f>IF(T33&gt;U33,1,"")</f>
        <v/>
      </c>
      <c r="Q35" s="164" t="str">
        <f>IF(AND(T33=U33,T33&lt;&gt;"",U33&lt;&gt;""),1,"")</f>
        <v/>
      </c>
      <c r="R35" s="164" t="str">
        <f>IF(T33&lt;U33,1,"")</f>
        <v/>
      </c>
      <c r="S35" s="164" t="str">
        <f>IF(AND(N35=M35,M35=1),1,"")</f>
        <v/>
      </c>
      <c r="T35" s="164" t="str">
        <f>IF(O35=3,1,"")</f>
        <v/>
      </c>
      <c r="U35" s="164" t="str">
        <f>IF(P35=3,1,"")</f>
        <v/>
      </c>
      <c r="V35" s="164" t="str">
        <f>IF(AND(O35=P35,P35=1),1,"")</f>
        <v/>
      </c>
      <c r="W35" s="164"/>
      <c r="X35" s="143"/>
      <c r="Y35" s="498" t="str">
        <f>IF(AG29&gt;AH29,X29,IF(AH29&gt;AG29,Y29,IF((AB29+AD29)&gt;(AC29+AE29),X29,IF((AB29+AD29)&lt;(AC29+AE29),Y29,IF((AB29+(AD29*2))&lt;((AC29*2)+AE29),Y29,IF((AB29+(AD29*2))&gt;((AC29*2)+AE29),X29,"? ? ? ? ? ? ? ?"))))))</f>
        <v>Enrico</v>
      </c>
      <c r="Z35" s="499"/>
      <c r="AA35" s="499"/>
      <c r="AB35" s="499"/>
      <c r="AC35" s="500"/>
      <c r="AD35" s="143"/>
      <c r="AE35" s="143"/>
    </row>
    <row r="36" spans="1:31" ht="17.25" customHeight="1" thickBo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Y36" s="501"/>
      <c r="Z36" s="502"/>
      <c r="AA36" s="502"/>
      <c r="AB36" s="502"/>
      <c r="AC36" s="503"/>
    </row>
    <row r="37" spans="1:31" ht="26.25" customHeight="1" thickBot="1" x14ac:dyDescent="0.45">
      <c r="A37" s="120"/>
      <c r="B37" s="482" t="s">
        <v>78</v>
      </c>
      <c r="C37" s="483"/>
      <c r="D37" s="483"/>
      <c r="E37" s="483"/>
      <c r="F37" s="483"/>
      <c r="G37" s="483"/>
      <c r="H37" s="483"/>
      <c r="I37" s="483"/>
      <c r="J37" s="483"/>
      <c r="K37" s="484"/>
      <c r="L37" s="173"/>
      <c r="M37" s="120"/>
      <c r="N37" s="485" t="s">
        <v>79</v>
      </c>
      <c r="O37" s="486"/>
      <c r="P37" s="486"/>
      <c r="Q37" s="486"/>
      <c r="R37" s="486"/>
      <c r="S37" s="486"/>
      <c r="T37" s="486"/>
      <c r="U37" s="486"/>
      <c r="V37" s="486"/>
      <c r="W37" s="487"/>
      <c r="Y37" s="504"/>
      <c r="Z37" s="505"/>
      <c r="AA37" s="505"/>
      <c r="AB37" s="505"/>
      <c r="AC37" s="506"/>
    </row>
    <row r="38" spans="1:31" ht="26.5" thickBot="1" x14ac:dyDescent="0.3">
      <c r="A38" s="120"/>
      <c r="B38" s="165" t="s">
        <v>63</v>
      </c>
      <c r="C38" s="150" t="s">
        <v>29</v>
      </c>
      <c r="D38" s="150" t="s">
        <v>30</v>
      </c>
      <c r="E38" s="150" t="s">
        <v>31</v>
      </c>
      <c r="F38" s="150" t="s">
        <v>64</v>
      </c>
      <c r="G38" s="150" t="s">
        <v>65</v>
      </c>
      <c r="H38" s="150" t="s">
        <v>66</v>
      </c>
      <c r="I38" s="186" t="s">
        <v>5</v>
      </c>
      <c r="J38" s="178" t="s">
        <v>80</v>
      </c>
      <c r="K38" s="179" t="s">
        <v>13</v>
      </c>
      <c r="L38" s="174"/>
      <c r="M38" s="120"/>
      <c r="N38" s="165" t="s">
        <v>63</v>
      </c>
      <c r="O38" s="180" t="s">
        <v>29</v>
      </c>
      <c r="P38" s="150" t="s">
        <v>30</v>
      </c>
      <c r="Q38" s="149" t="s">
        <v>31</v>
      </c>
      <c r="R38" s="180" t="s">
        <v>64</v>
      </c>
      <c r="S38" s="180" t="s">
        <v>65</v>
      </c>
      <c r="T38" s="150" t="s">
        <v>66</v>
      </c>
      <c r="U38" s="177" t="s">
        <v>5</v>
      </c>
      <c r="V38" s="193" t="s">
        <v>80</v>
      </c>
      <c r="W38" s="179" t="s">
        <v>13</v>
      </c>
    </row>
    <row r="39" spans="1:31" ht="15" customHeight="1" x14ac:dyDescent="0.3">
      <c r="A39" s="6">
        <v>1</v>
      </c>
      <c r="B39" s="166" t="str">
        <f>$B$12</f>
        <v>Vincenzo</v>
      </c>
      <c r="C39" s="167">
        <f>$C$12</f>
        <v>0</v>
      </c>
      <c r="D39" s="167">
        <f>$D$12</f>
        <v>0</v>
      </c>
      <c r="E39" s="167">
        <f>$E$12</f>
        <v>0</v>
      </c>
      <c r="F39" s="167">
        <f>$F$12</f>
        <v>0</v>
      </c>
      <c r="G39" s="167">
        <f>$G$12</f>
        <v>0</v>
      </c>
      <c r="H39" s="167">
        <f>$H$12</f>
        <v>0</v>
      </c>
      <c r="I39" s="187">
        <f>$I$12</f>
        <v>0</v>
      </c>
      <c r="J39" s="187">
        <f>$J$12+$K$12</f>
        <v>0</v>
      </c>
      <c r="K39" s="188"/>
      <c r="L39" s="53">
        <f>(H39*1000)+F39</f>
        <v>0</v>
      </c>
      <c r="M39" s="6">
        <v>1</v>
      </c>
      <c r="N39" s="166" t="str">
        <f>$N$9</f>
        <v>Molina</v>
      </c>
      <c r="O39" s="167">
        <f>$O$9</f>
        <v>0</v>
      </c>
      <c r="P39" s="167">
        <f>$P$9</f>
        <v>0</v>
      </c>
      <c r="Q39" s="167">
        <f>$Q$9</f>
        <v>0</v>
      </c>
      <c r="R39" s="167">
        <f>$R$9</f>
        <v>0</v>
      </c>
      <c r="S39" s="167">
        <f>$S$9</f>
        <v>0</v>
      </c>
      <c r="T39" s="167">
        <f>$T$9</f>
        <v>0</v>
      </c>
      <c r="U39" s="187">
        <f>$U$9</f>
        <v>0</v>
      </c>
      <c r="V39" s="187">
        <f>$V$9+$W$9</f>
        <v>0</v>
      </c>
      <c r="W39" s="188"/>
      <c r="X39" s="53" t="e">
        <f>(#REF!*1000)+#REF!</f>
        <v>#REF!</v>
      </c>
    </row>
    <row r="40" spans="1:31" ht="15" customHeight="1" x14ac:dyDescent="0.3">
      <c r="A40" s="6">
        <v>2</v>
      </c>
      <c r="B40" s="168" t="str">
        <f>$B$11</f>
        <v>Enrico</v>
      </c>
      <c r="C40" s="155">
        <f>$C$11</f>
        <v>0</v>
      </c>
      <c r="D40" s="155">
        <f>$D$11</f>
        <v>0</v>
      </c>
      <c r="E40" s="155">
        <f>$E$11</f>
        <v>0</v>
      </c>
      <c r="F40" s="155">
        <f>$F$11</f>
        <v>0</v>
      </c>
      <c r="G40" s="155">
        <f>$G$11</f>
        <v>0</v>
      </c>
      <c r="H40" s="169">
        <f>$H$11</f>
        <v>0</v>
      </c>
      <c r="I40" s="189">
        <f>$I$11</f>
        <v>0</v>
      </c>
      <c r="J40" s="189">
        <f>$J$11+$K$11</f>
        <v>0</v>
      </c>
      <c r="K40" s="134"/>
      <c r="L40" s="53" t="e">
        <f>(#REF!*1000)+#REF!</f>
        <v>#REF!</v>
      </c>
      <c r="M40" s="6">
        <v>2</v>
      </c>
      <c r="N40" s="168" t="str">
        <f>$N$10</f>
        <v>Daniele</v>
      </c>
      <c r="O40" s="155">
        <f>$O$10</f>
        <v>0</v>
      </c>
      <c r="P40" s="155">
        <f>$P$10</f>
        <v>0</v>
      </c>
      <c r="Q40" s="155">
        <f>$Q$10</f>
        <v>0</v>
      </c>
      <c r="R40" s="155">
        <f>$R$10</f>
        <v>0</v>
      </c>
      <c r="S40" s="155">
        <f>$S$10</f>
        <v>0</v>
      </c>
      <c r="T40" s="169">
        <f>$T$10</f>
        <v>0</v>
      </c>
      <c r="U40" s="189">
        <f>$U$10</f>
        <v>0</v>
      </c>
      <c r="V40" s="189">
        <f>$V$10+$W$10</f>
        <v>0</v>
      </c>
      <c r="W40" s="134"/>
      <c r="X40" s="53" t="e">
        <f>(#REF!*1000)+#REF!</f>
        <v>#REF!</v>
      </c>
      <c r="Y40" s="201"/>
    </row>
    <row r="41" spans="1:31" ht="15" customHeight="1" x14ac:dyDescent="0.3">
      <c r="A41" s="6">
        <v>3</v>
      </c>
      <c r="B41" s="168" t="str">
        <f>$B$10</f>
        <v>Riccardo</v>
      </c>
      <c r="C41" s="155">
        <f>$C$10</f>
        <v>0</v>
      </c>
      <c r="D41" s="155">
        <f>$D$10</f>
        <v>0</v>
      </c>
      <c r="E41" s="155">
        <f>$E$10</f>
        <v>0</v>
      </c>
      <c r="F41" s="155">
        <f>$F$10</f>
        <v>0</v>
      </c>
      <c r="G41" s="155">
        <f>$G$10</f>
        <v>0</v>
      </c>
      <c r="H41" s="169">
        <f>$H$10</f>
        <v>0</v>
      </c>
      <c r="I41" s="189">
        <f>$I$10</f>
        <v>0</v>
      </c>
      <c r="J41" s="189">
        <f>$J$10+$K$10</f>
        <v>0</v>
      </c>
      <c r="K41" s="134"/>
      <c r="L41" s="53" t="e">
        <f>(#REF!*1000)+#REF!</f>
        <v>#REF!</v>
      </c>
      <c r="M41" s="6">
        <v>3</v>
      </c>
      <c r="N41" s="168" t="str">
        <f>$N$11</f>
        <v>Fabrizio</v>
      </c>
      <c r="O41" s="155">
        <f>$O$11</f>
        <v>0</v>
      </c>
      <c r="P41" s="155">
        <f>$P$11</f>
        <v>0</v>
      </c>
      <c r="Q41" s="155">
        <f>$Q$11</f>
        <v>0</v>
      </c>
      <c r="R41" s="155">
        <f>$R$11</f>
        <v>0</v>
      </c>
      <c r="S41" s="155">
        <f>$S$11</f>
        <v>0</v>
      </c>
      <c r="T41" s="169">
        <f>$T$11</f>
        <v>0</v>
      </c>
      <c r="U41" s="189">
        <f>$U$11</f>
        <v>0</v>
      </c>
      <c r="V41" s="189">
        <f>$V$11+$W$11</f>
        <v>0</v>
      </c>
      <c r="W41" s="134"/>
      <c r="X41" s="53" t="e">
        <f>(#REF!*1000)+#REF!</f>
        <v>#REF!</v>
      </c>
      <c r="Y41" s="201"/>
    </row>
    <row r="42" spans="1:31" ht="15" customHeight="1" thickBot="1" x14ac:dyDescent="0.35">
      <c r="A42" s="6">
        <v>4</v>
      </c>
      <c r="B42" s="170" t="str">
        <f>$B$9</f>
        <v>Eugenio</v>
      </c>
      <c r="C42" s="158">
        <f>$C$9</f>
        <v>0</v>
      </c>
      <c r="D42" s="158">
        <f>$D$9</f>
        <v>0</v>
      </c>
      <c r="E42" s="158">
        <f>$E$9</f>
        <v>0</v>
      </c>
      <c r="F42" s="158">
        <f>$F$9</f>
        <v>0</v>
      </c>
      <c r="G42" s="158">
        <f>$G$9</f>
        <v>0</v>
      </c>
      <c r="H42" s="158">
        <f>$H$9</f>
        <v>0</v>
      </c>
      <c r="I42" s="190">
        <f>$I$9</f>
        <v>0</v>
      </c>
      <c r="J42" s="190">
        <f>$J$9+$K$9</f>
        <v>0</v>
      </c>
      <c r="K42" s="141"/>
      <c r="L42" s="53" t="e">
        <f>(#REF!*1000)+#REF!</f>
        <v>#REF!</v>
      </c>
      <c r="M42" s="6">
        <v>4</v>
      </c>
      <c r="N42" s="170" t="str">
        <f>$N$12</f>
        <v>Dario</v>
      </c>
      <c r="O42" s="158">
        <f>$O$12</f>
        <v>0</v>
      </c>
      <c r="P42" s="158">
        <f>$P$12</f>
        <v>0</v>
      </c>
      <c r="Q42" s="158">
        <f>$Q$12</f>
        <v>0</v>
      </c>
      <c r="R42" s="158">
        <f>$R$12</f>
        <v>0</v>
      </c>
      <c r="S42" s="158">
        <f>$S$12</f>
        <v>0</v>
      </c>
      <c r="T42" s="158">
        <f>$T$12</f>
        <v>0</v>
      </c>
      <c r="U42" s="190">
        <f>$U$12</f>
        <v>0</v>
      </c>
      <c r="V42" s="190">
        <f>$V$12+$W$12</f>
        <v>0</v>
      </c>
      <c r="W42" s="141"/>
      <c r="X42" s="53" t="e">
        <f>(#REF!*1000)+#REF!</f>
        <v>#REF!</v>
      </c>
      <c r="Y42" s="201"/>
    </row>
    <row r="43" spans="1:31" ht="12.75" customHeight="1" x14ac:dyDescent="0.25">
      <c r="Y43" s="201"/>
    </row>
    <row r="44" spans="1:31" ht="9.75" customHeight="1" x14ac:dyDescent="0.25">
      <c r="C44" s="171"/>
      <c r="D44" s="171"/>
      <c r="E44" s="171"/>
    </row>
    <row r="45" spans="1:31" ht="9.75" customHeight="1" x14ac:dyDescent="0.25"/>
    <row r="46" spans="1:31" ht="12.75" customHeight="1" x14ac:dyDescent="0.25">
      <c r="A46" s="120"/>
      <c r="B46" s="172"/>
      <c r="C46" s="172"/>
      <c r="D46" s="172"/>
      <c r="E46" s="172"/>
      <c r="F46" s="172"/>
      <c r="G46" s="172"/>
      <c r="H46" s="173"/>
      <c r="I46" s="173"/>
      <c r="M46" s="120"/>
      <c r="N46" s="172"/>
      <c r="O46" s="172"/>
      <c r="P46" s="172"/>
      <c r="Q46" s="172"/>
      <c r="R46" s="172"/>
      <c r="S46" s="172"/>
      <c r="T46" s="173"/>
      <c r="U46" s="173"/>
      <c r="V46" s="173"/>
    </row>
    <row r="47" spans="1:31" ht="9.75" customHeight="1" x14ac:dyDescent="0.25">
      <c r="A47" s="120"/>
      <c r="B47" s="120"/>
      <c r="C47" s="120"/>
      <c r="D47" s="120"/>
      <c r="E47" s="120"/>
      <c r="F47" s="120"/>
      <c r="G47" s="120"/>
      <c r="H47" s="120"/>
      <c r="I47" s="120"/>
      <c r="M47" s="120"/>
      <c r="V47" s="120"/>
    </row>
    <row r="48" spans="1:31" ht="12.75" customHeight="1" x14ac:dyDescent="0.25">
      <c r="A48" s="120"/>
      <c r="B48" s="174"/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20"/>
    </row>
    <row r="49" spans="1:14" ht="12.75" customHeight="1" x14ac:dyDescent="0.25">
      <c r="A49" s="175"/>
      <c r="B49" s="176"/>
      <c r="C49" s="171"/>
      <c r="D49" s="171"/>
      <c r="E49" s="171"/>
      <c r="F49" s="171"/>
      <c r="G49" s="171"/>
      <c r="H49" s="171"/>
      <c r="I49" s="191"/>
      <c r="J49" s="72"/>
      <c r="K49" s="72"/>
      <c r="L49" s="53">
        <f>(H49*1000)+F49</f>
        <v>0</v>
      </c>
      <c r="M49" s="175"/>
    </row>
    <row r="50" spans="1:14" ht="12.75" customHeight="1" x14ac:dyDescent="0.25">
      <c r="A50" s="175"/>
      <c r="B50" s="176"/>
      <c r="C50" s="171"/>
      <c r="D50" s="171"/>
      <c r="E50" s="171"/>
      <c r="F50" s="171"/>
      <c r="G50" s="171"/>
      <c r="H50" s="171"/>
      <c r="I50" s="191"/>
      <c r="J50" s="72"/>
      <c r="K50" s="72"/>
      <c r="L50" s="53">
        <f>(H50*1000)+F50</f>
        <v>0</v>
      </c>
      <c r="M50" s="175"/>
    </row>
    <row r="51" spans="1:14" ht="12.75" customHeight="1" x14ac:dyDescent="0.25">
      <c r="A51" s="175"/>
      <c r="B51" s="176"/>
      <c r="C51" s="171"/>
      <c r="D51" s="171"/>
      <c r="E51" s="171"/>
      <c r="F51" s="171"/>
      <c r="G51" s="171"/>
      <c r="H51" s="171"/>
      <c r="I51" s="191"/>
      <c r="J51" s="72"/>
      <c r="K51" s="72"/>
      <c r="L51" s="53">
        <f>(H51*1000)+F51</f>
        <v>0</v>
      </c>
      <c r="M51" s="175"/>
      <c r="N51" s="176"/>
    </row>
    <row r="52" spans="1:14" ht="12.75" customHeight="1" x14ac:dyDescent="0.25">
      <c r="A52" s="175"/>
      <c r="K52" s="72"/>
      <c r="L52" s="53">
        <f>(H40*1000)+F40</f>
        <v>0</v>
      </c>
      <c r="M52" s="175"/>
      <c r="N52" s="176"/>
    </row>
  </sheetData>
  <protectedRanges>
    <protectedRange sqref="F18:I19 F25:I26 F32:I33 R32:U33 R25:U26 R18:U19 AB23:AE24 AB29:AE29 AG23:AH24 AG29:AH29" name="Intervallo2"/>
    <protectedRange sqref="K49:L52 W39:X42 K39:L42" name="Intervallo3"/>
  </protectedRanges>
  <mergeCells count="29">
    <mergeCell ref="Y34:AC34"/>
    <mergeCell ref="B37:K37"/>
    <mergeCell ref="N37:W37"/>
    <mergeCell ref="B5:K7"/>
    <mergeCell ref="N5:W7"/>
    <mergeCell ref="Y35:AC37"/>
    <mergeCell ref="AB28:AC28"/>
    <mergeCell ref="T17:U17"/>
    <mergeCell ref="AB22:AC22"/>
    <mergeCell ref="AD28:AE28"/>
    <mergeCell ref="B30:G30"/>
    <mergeCell ref="N30:S30"/>
    <mergeCell ref="F31:G31"/>
    <mergeCell ref="H31:I31"/>
    <mergeCell ref="R31:S31"/>
    <mergeCell ref="T31:U31"/>
    <mergeCell ref="AD22:AE22"/>
    <mergeCell ref="B23:G23"/>
    <mergeCell ref="N23:S23"/>
    <mergeCell ref="F24:G24"/>
    <mergeCell ref="H24:I24"/>
    <mergeCell ref="R24:S24"/>
    <mergeCell ref="T24:U24"/>
    <mergeCell ref="J2:O2"/>
    <mergeCell ref="B16:G16"/>
    <mergeCell ref="N16:S16"/>
    <mergeCell ref="F17:G17"/>
    <mergeCell ref="H17:I17"/>
    <mergeCell ref="R17:S17"/>
  </mergeCells>
  <pageMargins left="0.75" right="0.75" top="1" bottom="1" header="0.5" footer="0.5"/>
  <pageSetup paperSize="9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70" r:id="rId4" name="CommandButton1">
          <controlPr defaultSize="0" altText="" r:id="rId5">
            <anchor moveWithCells="1">
              <from>
                <xdr:col>2</xdr:col>
                <xdr:colOff>69850</xdr:colOff>
                <xdr:row>1</xdr:row>
                <xdr:rowOff>6350</xdr:rowOff>
              </from>
              <to>
                <xdr:col>7</xdr:col>
                <xdr:colOff>171450</xdr:colOff>
                <xdr:row>2</xdr:row>
                <xdr:rowOff>0</xdr:rowOff>
              </to>
            </anchor>
          </controlPr>
        </control>
      </mc:Choice>
      <mc:Fallback>
        <control shapeId="7170" r:id="rId4" name="CommandButton1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7AC45-85CD-4AED-B455-A36A19AF7F41}">
  <sheetPr codeName="Foglio6">
    <tabColor indexed="30"/>
  </sheetPr>
  <dimension ref="A1:G43"/>
  <sheetViews>
    <sheetView zoomScale="71" workbookViewId="0"/>
  </sheetViews>
  <sheetFormatPr defaultRowHeight="14.25" customHeight="1" x14ac:dyDescent="0.25"/>
  <cols>
    <col min="1" max="1" width="17.90625" style="72" customWidth="1"/>
    <col min="2" max="2" width="58.90625" customWidth="1"/>
    <col min="3" max="4" width="29.6328125" customWidth="1"/>
    <col min="5" max="5" width="7.08984375" customWidth="1"/>
    <col min="6" max="6" width="19.90625" customWidth="1"/>
    <col min="7" max="7" width="10" style="4" bestFit="1" customWidth="1"/>
    <col min="8" max="8" width="9.54296875" customWidth="1"/>
  </cols>
  <sheetData>
    <row r="1" spans="1:5" ht="18.75" customHeight="1" x14ac:dyDescent="0.25">
      <c r="A1" s="122" t="s">
        <v>81</v>
      </c>
      <c r="B1" s="123" t="s">
        <v>249</v>
      </c>
    </row>
    <row r="2" spans="1:5" ht="18.75" customHeight="1" x14ac:dyDescent="0.35">
      <c r="A2" s="124" t="s">
        <v>82</v>
      </c>
      <c r="B2" s="125" t="s">
        <v>83</v>
      </c>
      <c r="C2" s="124" t="s">
        <v>84</v>
      </c>
      <c r="D2" s="124" t="s">
        <v>85</v>
      </c>
      <c r="E2" s="124" t="s">
        <v>86</v>
      </c>
    </row>
    <row r="3" spans="1:5" ht="14.25" customHeight="1" x14ac:dyDescent="0.3">
      <c r="A3" s="126">
        <v>1</v>
      </c>
      <c r="B3" s="310" t="s">
        <v>40</v>
      </c>
      <c r="C3" s="127"/>
      <c r="D3" s="128"/>
      <c r="E3" s="129"/>
    </row>
    <row r="4" spans="1:5" ht="14.25" customHeight="1" x14ac:dyDescent="0.3">
      <c r="A4" s="130" t="s">
        <v>87</v>
      </c>
      <c r="B4" s="131"/>
      <c r="C4" s="132"/>
      <c r="D4" s="133"/>
      <c r="E4" s="134"/>
    </row>
    <row r="5" spans="1:5" ht="14.25" customHeight="1" x14ac:dyDescent="0.3">
      <c r="A5" s="135"/>
      <c r="B5" s="136"/>
      <c r="C5" s="133"/>
      <c r="D5" s="133"/>
      <c r="E5" s="134"/>
    </row>
    <row r="6" spans="1:5" ht="14.25" customHeight="1" x14ac:dyDescent="0.3">
      <c r="A6" s="135"/>
      <c r="B6" s="136"/>
      <c r="C6" s="132"/>
      <c r="D6" s="133"/>
      <c r="E6" s="134"/>
    </row>
    <row r="7" spans="1:5" ht="14.25" customHeight="1" x14ac:dyDescent="0.3">
      <c r="A7" s="137"/>
      <c r="B7" s="138"/>
      <c r="C7" s="139"/>
      <c r="D7" s="140"/>
      <c r="E7" s="141"/>
    </row>
    <row r="8" spans="1:5" ht="14.25" customHeight="1" x14ac:dyDescent="0.3">
      <c r="A8" s="126">
        <v>2</v>
      </c>
      <c r="B8" s="310" t="s">
        <v>36</v>
      </c>
      <c r="C8" s="127"/>
      <c r="D8" s="128"/>
      <c r="E8" s="129"/>
    </row>
    <row r="9" spans="1:5" ht="14.25" customHeight="1" x14ac:dyDescent="0.3">
      <c r="A9" s="130" t="s">
        <v>87</v>
      </c>
      <c r="B9" s="131"/>
      <c r="C9" s="132"/>
      <c r="D9" s="133"/>
      <c r="E9" s="134"/>
    </row>
    <row r="10" spans="1:5" ht="14.25" customHeight="1" x14ac:dyDescent="0.3">
      <c r="A10" s="135"/>
      <c r="B10" s="136"/>
      <c r="C10" s="133"/>
      <c r="D10" s="133"/>
      <c r="E10" s="134"/>
    </row>
    <row r="11" spans="1:5" ht="14.25" customHeight="1" x14ac:dyDescent="0.3">
      <c r="A11" s="135"/>
      <c r="B11" s="136"/>
      <c r="C11" s="132"/>
      <c r="D11" s="132"/>
      <c r="E11" s="134"/>
    </row>
    <row r="12" spans="1:5" ht="14.25" customHeight="1" x14ac:dyDescent="0.3">
      <c r="A12" s="137"/>
      <c r="B12" s="138"/>
      <c r="C12" s="139"/>
      <c r="D12" s="140"/>
      <c r="E12" s="141"/>
    </row>
    <row r="13" spans="1:5" ht="14.25" customHeight="1" x14ac:dyDescent="0.3">
      <c r="A13" s="126">
        <v>3</v>
      </c>
      <c r="B13" s="310" t="s">
        <v>39</v>
      </c>
      <c r="C13" s="127"/>
      <c r="D13" s="128"/>
      <c r="E13" s="129"/>
    </row>
    <row r="14" spans="1:5" ht="14.25" customHeight="1" x14ac:dyDescent="0.3">
      <c r="A14" s="130" t="s">
        <v>87</v>
      </c>
      <c r="B14" s="131"/>
      <c r="C14" s="132"/>
      <c r="D14" s="133"/>
      <c r="E14" s="134"/>
    </row>
    <row r="15" spans="1:5" ht="14.25" customHeight="1" x14ac:dyDescent="0.3">
      <c r="A15" s="135"/>
      <c r="B15" s="136"/>
      <c r="C15" s="133"/>
      <c r="D15" s="133"/>
      <c r="E15" s="134"/>
    </row>
    <row r="16" spans="1:5" ht="14.25" customHeight="1" x14ac:dyDescent="0.3">
      <c r="A16" s="135"/>
      <c r="B16" s="136"/>
      <c r="C16" s="132"/>
      <c r="D16" s="133"/>
      <c r="E16" s="134"/>
    </row>
    <row r="17" spans="1:5" ht="14.25" customHeight="1" thickBot="1" x14ac:dyDescent="0.35">
      <c r="A17" s="137"/>
      <c r="B17" s="138"/>
      <c r="C17" s="139"/>
      <c r="D17" s="140"/>
      <c r="E17" s="141"/>
    </row>
    <row r="18" spans="1:5" ht="14.25" customHeight="1" thickBot="1" x14ac:dyDescent="0.35">
      <c r="A18" s="126">
        <v>4</v>
      </c>
      <c r="B18" s="340" t="s">
        <v>37</v>
      </c>
      <c r="C18" s="132"/>
      <c r="D18" s="128"/>
      <c r="E18" s="129"/>
    </row>
    <row r="19" spans="1:5" ht="14.25" customHeight="1" x14ac:dyDescent="0.3">
      <c r="A19" s="130" t="s">
        <v>87</v>
      </c>
      <c r="B19" s="131"/>
      <c r="D19" s="128"/>
      <c r="E19" s="134"/>
    </row>
    <row r="20" spans="1:5" ht="14.25" customHeight="1" x14ac:dyDescent="0.3">
      <c r="A20" s="135"/>
      <c r="B20" s="136"/>
      <c r="C20" s="133"/>
      <c r="D20" s="133"/>
      <c r="E20" s="134"/>
    </row>
    <row r="21" spans="1:5" ht="14.25" customHeight="1" x14ac:dyDescent="0.3">
      <c r="A21" s="135"/>
      <c r="B21" s="136"/>
      <c r="C21" s="132"/>
      <c r="D21" s="133"/>
      <c r="E21" s="134"/>
    </row>
    <row r="22" spans="1:5" ht="14.25" customHeight="1" x14ac:dyDescent="0.3">
      <c r="A22" s="137"/>
      <c r="B22" s="138"/>
      <c r="C22" s="139"/>
      <c r="D22" s="140"/>
      <c r="E22" s="141"/>
    </row>
    <row r="23" spans="1:5" ht="14.25" customHeight="1" x14ac:dyDescent="0.3">
      <c r="A23" s="126">
        <v>5</v>
      </c>
      <c r="B23" s="310" t="s">
        <v>42</v>
      </c>
      <c r="C23" s="132"/>
      <c r="E23" s="129"/>
    </row>
    <row r="24" spans="1:5" ht="14.25" customHeight="1" x14ac:dyDescent="0.3">
      <c r="A24" s="130" t="s">
        <v>87</v>
      </c>
      <c r="B24" s="131"/>
      <c r="C24" s="132"/>
      <c r="D24" s="133"/>
      <c r="E24" s="134"/>
    </row>
    <row r="25" spans="1:5" ht="14.25" customHeight="1" x14ac:dyDescent="0.3">
      <c r="A25" s="135"/>
      <c r="B25" s="136"/>
      <c r="C25" s="133"/>
      <c r="D25" s="133"/>
      <c r="E25" s="134"/>
    </row>
    <row r="26" spans="1:5" ht="14.25" customHeight="1" x14ac:dyDescent="0.3">
      <c r="A26" s="135"/>
      <c r="B26" s="136"/>
      <c r="C26" s="132"/>
      <c r="D26" s="133"/>
      <c r="E26" s="134"/>
    </row>
    <row r="27" spans="1:5" ht="14.25" customHeight="1" x14ac:dyDescent="0.3">
      <c r="A27" s="137"/>
      <c r="B27" s="138"/>
      <c r="C27" s="139"/>
      <c r="D27" s="140"/>
      <c r="E27" s="141"/>
    </row>
    <row r="28" spans="1:5" ht="14.25" customHeight="1" x14ac:dyDescent="0.3">
      <c r="A28" s="126">
        <v>6</v>
      </c>
      <c r="B28" s="310" t="s">
        <v>41</v>
      </c>
      <c r="C28" s="127"/>
      <c r="D28" s="142"/>
      <c r="E28" s="129"/>
    </row>
    <row r="29" spans="1:5" ht="14.25" customHeight="1" x14ac:dyDescent="0.3">
      <c r="A29" s="130" t="s">
        <v>87</v>
      </c>
      <c r="B29" s="131"/>
      <c r="C29" s="127"/>
      <c r="D29" s="133"/>
      <c r="E29" s="134"/>
    </row>
    <row r="30" spans="1:5" ht="14.25" customHeight="1" x14ac:dyDescent="0.3">
      <c r="A30" s="135"/>
      <c r="B30" s="136"/>
      <c r="C30" s="133"/>
      <c r="D30" s="133"/>
      <c r="E30" s="134"/>
    </row>
    <row r="31" spans="1:5" ht="14.25" customHeight="1" x14ac:dyDescent="0.3">
      <c r="A31" s="135"/>
      <c r="B31" s="136"/>
      <c r="C31" s="132"/>
      <c r="D31" s="133"/>
      <c r="E31" s="134"/>
    </row>
    <row r="32" spans="1:5" ht="14.25" customHeight="1" x14ac:dyDescent="0.3">
      <c r="A32" s="137"/>
      <c r="B32" s="138"/>
      <c r="C32" s="139"/>
      <c r="D32" s="140"/>
      <c r="E32" s="141"/>
    </row>
    <row r="33" spans="1:5" ht="14.25" customHeight="1" x14ac:dyDescent="0.3">
      <c r="A33" s="126">
        <v>7</v>
      </c>
      <c r="B33" s="310" t="s">
        <v>35</v>
      </c>
      <c r="C33" s="127"/>
      <c r="D33" s="128"/>
      <c r="E33" s="129"/>
    </row>
    <row r="34" spans="1:5" ht="14.25" customHeight="1" x14ac:dyDescent="0.3">
      <c r="A34" s="130" t="s">
        <v>87</v>
      </c>
      <c r="B34" s="131"/>
      <c r="C34" s="132"/>
      <c r="D34" s="133"/>
      <c r="E34" s="134"/>
    </row>
    <row r="35" spans="1:5" ht="14.25" customHeight="1" x14ac:dyDescent="0.3">
      <c r="A35" s="135"/>
      <c r="B35" s="136"/>
      <c r="C35" s="133"/>
      <c r="D35" s="133"/>
      <c r="E35" s="134"/>
    </row>
    <row r="36" spans="1:5" ht="14.25" customHeight="1" x14ac:dyDescent="0.3">
      <c r="A36" s="135"/>
      <c r="B36" s="136"/>
      <c r="C36" s="132"/>
      <c r="D36" s="133"/>
      <c r="E36" s="134"/>
    </row>
    <row r="37" spans="1:5" ht="14.25" customHeight="1" x14ac:dyDescent="0.3">
      <c r="A37" s="137"/>
      <c r="B37" s="138"/>
      <c r="C37" s="139"/>
      <c r="D37" s="140"/>
      <c r="E37" s="141"/>
    </row>
    <row r="38" spans="1:5" ht="14.25" customHeight="1" x14ac:dyDescent="0.3">
      <c r="A38" s="126">
        <v>8</v>
      </c>
      <c r="B38" s="310" t="s">
        <v>38</v>
      </c>
      <c r="C38" s="127"/>
      <c r="D38" s="128"/>
      <c r="E38" s="129"/>
    </row>
    <row r="39" spans="1:5" ht="14.25" customHeight="1" x14ac:dyDescent="0.3">
      <c r="A39" s="336" t="s">
        <v>87</v>
      </c>
      <c r="B39" s="131"/>
      <c r="C39" s="132"/>
      <c r="D39" s="133"/>
      <c r="E39" s="134"/>
    </row>
    <row r="40" spans="1:5" ht="14.25" customHeight="1" x14ac:dyDescent="0.3">
      <c r="A40" s="135"/>
      <c r="B40" s="337"/>
      <c r="C40" s="132"/>
      <c r="D40" s="133"/>
      <c r="E40" s="134"/>
    </row>
    <row r="41" spans="1:5" ht="14.25" customHeight="1" x14ac:dyDescent="0.3">
      <c r="A41" s="135"/>
      <c r="B41" s="136"/>
      <c r="C41" s="132"/>
      <c r="D41" s="133"/>
      <c r="E41" s="134"/>
    </row>
    <row r="42" spans="1:5" ht="14.25" customHeight="1" x14ac:dyDescent="0.3">
      <c r="A42" s="137"/>
      <c r="B42" s="138"/>
      <c r="C42" s="139"/>
      <c r="D42" s="140"/>
      <c r="E42" s="141"/>
    </row>
    <row r="43" spans="1:5" ht="14.25" customHeight="1" x14ac:dyDescent="0.25">
      <c r="C43" s="71"/>
      <c r="D43" s="71"/>
    </row>
  </sheetData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E402-A427-4A6A-AC88-EC3880377AF6}">
  <sheetPr codeName="Foglio2">
    <tabColor indexed="52"/>
  </sheetPr>
  <dimension ref="A2:BY32"/>
  <sheetViews>
    <sheetView zoomScale="70" workbookViewId="0"/>
  </sheetViews>
  <sheetFormatPr defaultColWidth="11.453125" defaultRowHeight="16.5" customHeight="1" x14ac:dyDescent="0.25"/>
  <cols>
    <col min="1" max="11" width="11.453125" customWidth="1"/>
    <col min="12" max="12" width="13.453125" customWidth="1"/>
  </cols>
  <sheetData>
    <row r="2" spans="1:77" ht="24.75" customHeight="1" x14ac:dyDescent="0.5">
      <c r="B2" s="70" t="s">
        <v>88</v>
      </c>
      <c r="AT2" s="113"/>
      <c r="BE2" s="113"/>
      <c r="BP2" s="113"/>
    </row>
    <row r="3" spans="1:77" ht="16.5" customHeight="1" x14ac:dyDescent="0.35">
      <c r="B3" s="71"/>
      <c r="C3" s="71"/>
      <c r="E3" s="72"/>
      <c r="F3" s="72"/>
      <c r="AW3" s="72"/>
      <c r="AX3" s="72"/>
      <c r="BA3" s="119"/>
      <c r="BB3" s="119"/>
      <c r="BH3" s="72"/>
      <c r="BI3" s="72"/>
      <c r="BL3" s="119"/>
      <c r="BM3" s="119"/>
      <c r="BS3" s="72"/>
      <c r="BT3" s="72"/>
      <c r="BW3" s="119"/>
      <c r="BX3" s="119"/>
    </row>
    <row r="4" spans="1:77" ht="16.5" customHeight="1" x14ac:dyDescent="0.25">
      <c r="A4" s="73"/>
      <c r="B4" s="71"/>
      <c r="E4" s="74"/>
      <c r="F4" s="72"/>
      <c r="H4" s="75"/>
      <c r="AW4" s="72"/>
      <c r="AX4" s="72"/>
      <c r="BA4" s="512"/>
      <c r="BB4" s="512"/>
      <c r="BC4" s="512"/>
      <c r="BH4" s="72"/>
      <c r="BI4" s="72"/>
      <c r="BL4" s="512"/>
      <c r="BM4" s="512"/>
      <c r="BN4" s="512"/>
      <c r="BS4" s="72"/>
      <c r="BT4" s="72"/>
      <c r="BW4" s="512"/>
      <c r="BX4" s="512"/>
      <c r="BY4" s="512"/>
    </row>
    <row r="5" spans="1:77" ht="16.5" customHeight="1" x14ac:dyDescent="0.25">
      <c r="A5" s="73"/>
      <c r="B5" s="76"/>
      <c r="C5" s="77"/>
      <c r="D5" s="73"/>
      <c r="E5" s="78"/>
      <c r="F5" s="79"/>
      <c r="G5" s="73"/>
      <c r="AW5" s="72"/>
      <c r="AX5" s="72"/>
      <c r="BA5" s="512"/>
      <c r="BB5" s="512"/>
      <c r="BC5" s="512"/>
      <c r="BH5" s="72"/>
      <c r="BI5" s="72"/>
      <c r="BL5" s="512"/>
      <c r="BM5" s="512"/>
      <c r="BN5" s="512"/>
      <c r="BS5" s="72"/>
      <c r="BT5" s="72"/>
      <c r="BW5" s="512"/>
      <c r="BX5" s="512"/>
      <c r="BY5" s="512"/>
    </row>
    <row r="6" spans="1:77" ht="16.5" customHeight="1" x14ac:dyDescent="0.25">
      <c r="A6" s="73"/>
      <c r="B6" s="71"/>
      <c r="C6" s="71"/>
      <c r="D6" s="73"/>
      <c r="E6" s="72"/>
      <c r="F6" s="72"/>
      <c r="G6" s="73"/>
      <c r="AW6" s="72"/>
      <c r="AX6" s="72"/>
      <c r="BA6" s="512"/>
      <c r="BB6" s="512"/>
      <c r="BC6" s="512"/>
      <c r="BH6" s="72"/>
      <c r="BI6" s="72"/>
      <c r="BL6" s="512"/>
      <c r="BM6" s="512"/>
      <c r="BN6" s="512"/>
      <c r="BS6" s="72"/>
      <c r="BT6" s="72"/>
      <c r="BW6" s="512"/>
      <c r="BX6" s="512"/>
      <c r="BY6" s="512"/>
    </row>
    <row r="7" spans="1:77" ht="16.5" customHeight="1" x14ac:dyDescent="0.25">
      <c r="A7" s="73"/>
      <c r="D7" s="73"/>
      <c r="G7" s="73"/>
      <c r="BA7" s="512"/>
      <c r="BB7" s="512"/>
      <c r="BC7" s="512"/>
      <c r="BL7" s="512"/>
      <c r="BM7" s="512"/>
      <c r="BN7" s="512"/>
      <c r="BW7" s="512"/>
      <c r="BX7" s="512"/>
      <c r="BY7" s="512"/>
    </row>
    <row r="8" spans="1:77" ht="16.5" customHeight="1" x14ac:dyDescent="0.25">
      <c r="A8" s="73"/>
      <c r="E8" s="80"/>
      <c r="G8" s="81"/>
    </row>
    <row r="9" spans="1:77" ht="16.5" customHeight="1" x14ac:dyDescent="0.35">
      <c r="A9" s="73"/>
      <c r="B9" s="507" t="s">
        <v>89</v>
      </c>
      <c r="C9" s="508"/>
      <c r="D9" s="82" t="s">
        <v>90</v>
      </c>
      <c r="E9" s="507" t="s">
        <v>89</v>
      </c>
      <c r="F9" s="508"/>
      <c r="G9" s="82" t="s">
        <v>90</v>
      </c>
      <c r="AT9" s="509"/>
      <c r="AU9" s="509"/>
      <c r="AV9" s="115"/>
      <c r="AW9" s="509"/>
      <c r="AX9" s="509"/>
      <c r="AY9" s="114"/>
      <c r="BE9" s="509"/>
      <c r="BF9" s="509"/>
      <c r="BG9" s="121"/>
      <c r="BH9" s="509"/>
      <c r="BI9" s="509"/>
      <c r="BJ9" s="114"/>
      <c r="BP9" s="509"/>
      <c r="BQ9" s="509"/>
      <c r="BR9" s="115"/>
      <c r="BS9" s="509"/>
      <c r="BT9" s="509"/>
      <c r="BU9" s="114"/>
    </row>
    <row r="10" spans="1:77" ht="16.5" customHeight="1" x14ac:dyDescent="0.25">
      <c r="A10" s="83"/>
      <c r="B10" s="84"/>
      <c r="C10" s="85"/>
      <c r="D10" s="86"/>
      <c r="E10" s="84"/>
      <c r="F10" s="84"/>
      <c r="G10" s="87"/>
      <c r="H10" s="71"/>
      <c r="AS10" s="4"/>
      <c r="AT10" s="116"/>
      <c r="AU10" s="116"/>
      <c r="AV10" s="115"/>
      <c r="AW10" s="116"/>
      <c r="AX10" s="116"/>
      <c r="AY10" s="72"/>
      <c r="AZ10" s="71"/>
      <c r="BD10" s="4"/>
      <c r="BE10" s="116"/>
      <c r="BF10" s="116"/>
      <c r="BG10" s="115"/>
      <c r="BH10" s="116"/>
      <c r="BI10" s="116"/>
      <c r="BJ10" s="72"/>
      <c r="BK10" s="71"/>
      <c r="BO10" s="4"/>
      <c r="BP10" s="116"/>
      <c r="BQ10" s="116"/>
      <c r="BR10" s="115"/>
      <c r="BS10" s="116"/>
      <c r="BT10" s="116"/>
      <c r="BU10" s="72"/>
      <c r="BV10" s="71"/>
      <c r="BW10" s="71"/>
    </row>
    <row r="11" spans="1:77" ht="16.5" customHeight="1" x14ac:dyDescent="0.25">
      <c r="A11" s="83"/>
      <c r="B11" s="88"/>
      <c r="C11" s="89"/>
      <c r="D11" s="90"/>
      <c r="E11" s="88"/>
      <c r="F11" s="88"/>
      <c r="G11" s="91"/>
      <c r="H11" s="71"/>
      <c r="AS11" s="4"/>
      <c r="AT11" s="116"/>
      <c r="AU11" s="116"/>
      <c r="AV11" s="115"/>
      <c r="AW11" s="116"/>
      <c r="AX11" s="116"/>
      <c r="AY11" s="72"/>
      <c r="AZ11" s="71"/>
      <c r="BD11" s="4"/>
      <c r="BE11" s="116"/>
      <c r="BF11" s="116"/>
      <c r="BG11" s="115"/>
      <c r="BH11" s="116"/>
      <c r="BI11" s="116"/>
      <c r="BJ11" s="72"/>
      <c r="BK11" s="71"/>
      <c r="BO11" s="4"/>
      <c r="BP11" s="116"/>
      <c r="BQ11" s="116"/>
      <c r="BR11" s="115"/>
      <c r="BS11" s="116"/>
      <c r="BT11" s="116"/>
      <c r="BU11" s="72"/>
      <c r="BV11" s="71"/>
      <c r="BW11" s="71"/>
    </row>
    <row r="12" spans="1:77" ht="16.5" customHeight="1" x14ac:dyDescent="0.25">
      <c r="A12" s="83"/>
      <c r="B12" s="88"/>
      <c r="C12" s="89"/>
      <c r="D12" s="90"/>
      <c r="E12" s="88"/>
      <c r="F12" s="88"/>
      <c r="G12" s="91"/>
      <c r="H12" s="71"/>
      <c r="AS12" s="4"/>
      <c r="AT12" s="116"/>
      <c r="AU12" s="116"/>
      <c r="AV12" s="115"/>
      <c r="AW12" s="116"/>
      <c r="AX12" s="116"/>
      <c r="AY12" s="72"/>
      <c r="AZ12" s="71"/>
      <c r="BB12" s="120"/>
      <c r="BD12" s="4"/>
      <c r="BE12" s="116"/>
      <c r="BF12" s="116"/>
      <c r="BG12" s="115"/>
      <c r="BH12" s="116"/>
      <c r="BI12" s="116"/>
      <c r="BJ12" s="72"/>
      <c r="BK12" s="71"/>
      <c r="BM12" s="120"/>
      <c r="BO12" s="4"/>
      <c r="BP12" s="116"/>
      <c r="BQ12" s="116"/>
      <c r="BR12" s="115"/>
      <c r="BS12" s="116"/>
      <c r="BT12" s="116"/>
      <c r="BU12" s="72"/>
      <c r="BV12" s="71"/>
      <c r="BW12" s="71"/>
      <c r="BX12" s="120"/>
    </row>
    <row r="13" spans="1:77" ht="16.5" customHeight="1" x14ac:dyDescent="0.25">
      <c r="A13" s="83"/>
      <c r="B13" s="88"/>
      <c r="C13" s="89"/>
      <c r="D13" s="90"/>
      <c r="E13" s="92"/>
      <c r="F13" s="88"/>
      <c r="G13" s="91"/>
      <c r="H13" s="71"/>
      <c r="AS13" s="4"/>
      <c r="AT13" s="116"/>
      <c r="AU13" s="116"/>
      <c r="AV13" s="115"/>
      <c r="AW13" s="71"/>
      <c r="AX13" s="116"/>
      <c r="AY13" s="72"/>
      <c r="AZ13" s="71"/>
      <c r="BB13" s="120"/>
      <c r="BD13" s="4"/>
      <c r="BE13" s="116"/>
      <c r="BF13" s="116"/>
      <c r="BG13" s="115"/>
      <c r="BH13" s="71"/>
      <c r="BI13" s="116"/>
      <c r="BJ13" s="72"/>
      <c r="BK13" s="71"/>
      <c r="BM13" s="120"/>
      <c r="BO13" s="4"/>
      <c r="BP13" s="116"/>
      <c r="BQ13" s="116"/>
      <c r="BR13" s="115"/>
      <c r="BS13" s="71"/>
      <c r="BT13" s="116"/>
      <c r="BU13" s="72"/>
      <c r="BV13" s="71"/>
      <c r="BW13" s="71"/>
      <c r="BX13" s="120"/>
    </row>
    <row r="14" spans="1:77" ht="16.5" customHeight="1" x14ac:dyDescent="0.25">
      <c r="A14" s="83"/>
      <c r="B14" s="88"/>
      <c r="C14" s="89"/>
      <c r="D14" s="90"/>
      <c r="E14" s="88"/>
      <c r="F14" s="88"/>
      <c r="G14" s="91"/>
      <c r="H14" s="71"/>
      <c r="AS14" s="4"/>
      <c r="AT14" s="116"/>
      <c r="AU14" s="116"/>
      <c r="AV14" s="115"/>
      <c r="AW14" s="116"/>
      <c r="AX14" s="116"/>
      <c r="AY14" s="72"/>
      <c r="AZ14" s="71"/>
      <c r="BB14" s="120"/>
      <c r="BD14" s="4"/>
      <c r="BE14" s="116"/>
      <c r="BF14" s="116"/>
      <c r="BG14" s="115"/>
      <c r="BH14" s="116"/>
      <c r="BI14" s="116"/>
      <c r="BJ14" s="72"/>
      <c r="BK14" s="71"/>
      <c r="BM14" s="120"/>
      <c r="BO14" s="4"/>
      <c r="BP14" s="116"/>
      <c r="BQ14" s="116"/>
      <c r="BR14" s="115"/>
      <c r="BS14" s="116"/>
      <c r="BT14" s="116"/>
      <c r="BU14" s="72"/>
      <c r="BV14" s="71"/>
      <c r="BW14" s="71"/>
      <c r="BX14" s="120"/>
    </row>
    <row r="15" spans="1:77" ht="16.5" customHeight="1" x14ac:dyDescent="0.25">
      <c r="A15" s="83"/>
      <c r="B15" s="88"/>
      <c r="C15" s="89"/>
      <c r="D15" s="90"/>
      <c r="E15" s="88"/>
      <c r="F15" s="88"/>
      <c r="G15" s="91"/>
      <c r="H15" s="71"/>
      <c r="AS15" s="4"/>
      <c r="AT15" s="116"/>
      <c r="AU15" s="116"/>
      <c r="AV15" s="115"/>
      <c r="AW15" s="116"/>
      <c r="AX15" s="116"/>
      <c r="AY15" s="72"/>
      <c r="AZ15" s="71"/>
      <c r="BB15" s="120"/>
      <c r="BD15" s="4"/>
      <c r="BE15" s="116"/>
      <c r="BF15" s="116"/>
      <c r="BG15" s="115"/>
      <c r="BH15" s="116"/>
      <c r="BI15" s="116"/>
      <c r="BJ15" s="72"/>
      <c r="BK15" s="71"/>
      <c r="BM15" s="120"/>
      <c r="BO15" s="4"/>
      <c r="BP15" s="116"/>
      <c r="BQ15" s="116"/>
      <c r="BR15" s="115"/>
      <c r="BS15" s="116"/>
      <c r="BT15" s="116"/>
      <c r="BU15" s="72"/>
      <c r="BV15" s="71"/>
      <c r="BW15" s="71"/>
      <c r="BX15" s="120"/>
    </row>
    <row r="16" spans="1:77" ht="16.5" customHeight="1" x14ac:dyDescent="0.25">
      <c r="A16" s="83"/>
      <c r="B16" s="88"/>
      <c r="C16" s="89"/>
      <c r="D16" s="90"/>
      <c r="E16" s="88"/>
      <c r="F16" s="88"/>
      <c r="G16" s="91"/>
      <c r="H16" s="71"/>
      <c r="AS16" s="4"/>
      <c r="AT16" s="116"/>
      <c r="AU16" s="116"/>
      <c r="AV16" s="115"/>
      <c r="AW16" s="116"/>
      <c r="AX16" s="116"/>
      <c r="AY16" s="72"/>
      <c r="AZ16" s="71"/>
      <c r="BB16" s="120"/>
      <c r="BD16" s="4"/>
      <c r="BE16" s="116"/>
      <c r="BF16" s="116"/>
      <c r="BG16" s="115"/>
      <c r="BH16" s="116"/>
      <c r="BI16" s="116"/>
      <c r="BJ16" s="72"/>
      <c r="BK16" s="71"/>
      <c r="BM16" s="120"/>
      <c r="BO16" s="4"/>
      <c r="BP16" s="116"/>
      <c r="BQ16" s="116"/>
      <c r="BR16" s="115"/>
      <c r="BS16" s="116"/>
      <c r="BT16" s="116"/>
      <c r="BU16" s="72"/>
      <c r="BV16" s="71"/>
      <c r="BW16" s="71"/>
      <c r="BX16" s="120"/>
    </row>
    <row r="17" spans="1:76" ht="16.5" customHeight="1" x14ac:dyDescent="0.25">
      <c r="A17" s="83"/>
      <c r="B17" s="88"/>
      <c r="C17" s="89"/>
      <c r="D17" s="90"/>
      <c r="E17" s="88"/>
      <c r="F17" s="88"/>
      <c r="G17" s="91"/>
      <c r="H17" s="71"/>
      <c r="AS17" s="4"/>
      <c r="AT17" s="116"/>
      <c r="AU17" s="116"/>
      <c r="AV17" s="115"/>
      <c r="AW17" s="116"/>
      <c r="AX17" s="116"/>
      <c r="AY17" s="72"/>
      <c r="AZ17" s="71"/>
      <c r="BB17" s="120"/>
      <c r="BD17" s="4"/>
      <c r="BE17" s="116"/>
      <c r="BF17" s="116"/>
      <c r="BG17" s="115"/>
      <c r="BH17" s="116"/>
      <c r="BI17" s="116"/>
      <c r="BJ17" s="72"/>
      <c r="BK17" s="71"/>
      <c r="BM17" s="120"/>
      <c r="BO17" s="4"/>
      <c r="BP17" s="116"/>
      <c r="BQ17" s="116"/>
      <c r="BR17" s="115"/>
      <c r="BS17" s="116"/>
      <c r="BT17" s="116"/>
      <c r="BU17" s="72"/>
      <c r="BV17" s="71"/>
      <c r="BW17" s="71"/>
      <c r="BX17" s="120"/>
    </row>
    <row r="18" spans="1:76" ht="16.5" customHeight="1" x14ac:dyDescent="0.25">
      <c r="A18" s="83"/>
      <c r="B18" s="88"/>
      <c r="C18" s="89"/>
      <c r="D18" s="90"/>
      <c r="E18" s="88"/>
      <c r="F18" s="88"/>
      <c r="G18" s="91"/>
      <c r="H18" s="71"/>
      <c r="AS18" s="4"/>
      <c r="AT18" s="116"/>
      <c r="AU18" s="116"/>
      <c r="AV18" s="115"/>
      <c r="AW18" s="116"/>
      <c r="AX18" s="116"/>
      <c r="AY18" s="72"/>
      <c r="AZ18" s="71"/>
      <c r="BB18" s="120"/>
      <c r="BD18" s="4"/>
      <c r="BE18" s="116"/>
      <c r="BF18" s="116"/>
      <c r="BG18" s="115"/>
      <c r="BH18" s="116"/>
      <c r="BI18" s="116"/>
      <c r="BJ18" s="72"/>
      <c r="BK18" s="71"/>
      <c r="BM18" s="120"/>
      <c r="BO18" s="4"/>
      <c r="BP18" s="116"/>
      <c r="BQ18" s="116"/>
      <c r="BR18" s="115"/>
      <c r="BS18" s="116"/>
      <c r="BT18" s="116"/>
      <c r="BU18" s="72"/>
      <c r="BV18" s="71"/>
      <c r="BW18" s="71"/>
      <c r="BX18" s="120"/>
    </row>
    <row r="19" spans="1:76" ht="16.5" customHeight="1" x14ac:dyDescent="0.25">
      <c r="A19" s="83"/>
      <c r="B19" s="88"/>
      <c r="C19" s="89"/>
      <c r="D19" s="90"/>
      <c r="E19" s="88"/>
      <c r="F19" s="88"/>
      <c r="G19" s="91"/>
      <c r="H19" s="71"/>
      <c r="AS19" s="4"/>
      <c r="AT19" s="116"/>
      <c r="AU19" s="116"/>
      <c r="AV19" s="115"/>
      <c r="AW19" s="116"/>
      <c r="AX19" s="116"/>
      <c r="AY19" s="72"/>
      <c r="AZ19" s="71"/>
      <c r="BB19" s="120"/>
      <c r="BD19" s="4"/>
      <c r="BE19" s="116"/>
      <c r="BF19" s="116"/>
      <c r="BG19" s="115"/>
      <c r="BH19" s="116"/>
      <c r="BI19" s="116"/>
      <c r="BJ19" s="72"/>
      <c r="BK19" s="71"/>
      <c r="BM19" s="120"/>
      <c r="BO19" s="4"/>
      <c r="BP19" s="116"/>
      <c r="BQ19" s="116"/>
      <c r="BR19" s="115"/>
      <c r="BS19" s="116"/>
      <c r="BT19" s="116"/>
      <c r="BU19" s="72"/>
      <c r="BV19" s="71"/>
      <c r="BW19" s="71"/>
      <c r="BX19" s="120"/>
    </row>
    <row r="20" spans="1:76" ht="16.5" customHeight="1" x14ac:dyDescent="0.25">
      <c r="A20" s="83"/>
      <c r="B20" s="93"/>
      <c r="C20" s="94"/>
      <c r="D20" s="95"/>
      <c r="E20" s="93"/>
      <c r="F20" s="93"/>
      <c r="G20" s="96"/>
      <c r="H20" s="71"/>
      <c r="AS20" s="4"/>
      <c r="AT20" s="116"/>
      <c r="AU20" s="116"/>
      <c r="AV20" s="115"/>
      <c r="AW20" s="116"/>
      <c r="AX20" s="116"/>
      <c r="AY20" s="72"/>
      <c r="AZ20" s="71"/>
      <c r="BB20" s="120"/>
      <c r="BD20" s="4"/>
      <c r="BE20" s="116"/>
      <c r="BF20" s="116"/>
      <c r="BG20" s="115"/>
      <c r="BH20" s="116"/>
      <c r="BI20" s="116"/>
      <c r="BJ20" s="72"/>
      <c r="BK20" s="71"/>
      <c r="BM20" s="120"/>
      <c r="BO20" s="4"/>
      <c r="BP20" s="116"/>
      <c r="BQ20" s="116"/>
      <c r="BR20" s="115"/>
      <c r="BS20" s="116"/>
      <c r="BT20" s="116"/>
      <c r="BU20" s="72"/>
      <c r="BV20" s="71"/>
      <c r="BW20" s="71"/>
      <c r="BX20" s="120"/>
    </row>
    <row r="21" spans="1:76" ht="16.5" customHeight="1" x14ac:dyDescent="0.25">
      <c r="A21" s="83"/>
      <c r="B21" s="97"/>
      <c r="C21" s="98"/>
      <c r="D21" s="99"/>
      <c r="E21" s="100"/>
      <c r="F21" s="100"/>
      <c r="G21" s="101"/>
      <c r="H21" s="71"/>
      <c r="AS21" s="4"/>
      <c r="AT21" s="116"/>
      <c r="AU21" s="116"/>
      <c r="AV21" s="115"/>
      <c r="AW21" s="116"/>
      <c r="AX21" s="116"/>
      <c r="AY21" s="72"/>
      <c r="AZ21" s="71"/>
      <c r="BD21" s="4"/>
      <c r="BE21" s="116"/>
      <c r="BF21" s="116"/>
      <c r="BG21" s="115"/>
      <c r="BH21" s="116"/>
      <c r="BI21" s="116"/>
      <c r="BJ21" s="72"/>
      <c r="BK21" s="71"/>
      <c r="BO21" s="4"/>
      <c r="BP21" s="116"/>
      <c r="BQ21" s="116"/>
      <c r="BR21" s="115"/>
      <c r="BS21" s="116"/>
      <c r="BT21" s="116"/>
      <c r="BU21" s="72"/>
      <c r="BV21" s="71"/>
      <c r="BW21" s="71"/>
    </row>
    <row r="22" spans="1:76" ht="16.5" customHeight="1" x14ac:dyDescent="0.25">
      <c r="A22" s="83"/>
      <c r="B22" s="88"/>
      <c r="C22" s="89"/>
      <c r="D22" s="90"/>
      <c r="E22" s="102"/>
      <c r="F22" s="102"/>
      <c r="G22" s="91"/>
      <c r="H22" s="71"/>
      <c r="AS22" s="4"/>
      <c r="AT22" s="116"/>
      <c r="AU22" s="116"/>
      <c r="AV22" s="115"/>
      <c r="AW22" s="116"/>
      <c r="AX22" s="116"/>
      <c r="AY22" s="72"/>
      <c r="AZ22" s="71"/>
      <c r="BD22" s="4"/>
      <c r="BE22" s="116"/>
      <c r="BF22" s="116"/>
      <c r="BG22" s="115"/>
      <c r="BH22" s="116"/>
      <c r="BI22" s="116"/>
      <c r="BJ22" s="72"/>
      <c r="BK22" s="71"/>
      <c r="BO22" s="4"/>
      <c r="BP22" s="116"/>
      <c r="BQ22" s="116"/>
      <c r="BR22" s="115"/>
      <c r="BS22" s="116"/>
      <c r="BT22" s="116"/>
      <c r="BU22" s="72"/>
      <c r="BV22" s="71"/>
      <c r="BW22" s="71"/>
    </row>
    <row r="23" spans="1:76" ht="16.5" customHeight="1" x14ac:dyDescent="0.25">
      <c r="A23" s="83"/>
      <c r="B23" s="88"/>
      <c r="C23" s="89"/>
      <c r="D23" s="90"/>
      <c r="E23" s="102"/>
      <c r="F23" s="102"/>
      <c r="G23" s="91"/>
      <c r="H23" s="71"/>
      <c r="AS23" s="4"/>
      <c r="AT23" s="116"/>
      <c r="AU23" s="116"/>
      <c r="AV23" s="115"/>
      <c r="AW23" s="116"/>
      <c r="AX23" s="116"/>
      <c r="AY23" s="72"/>
      <c r="AZ23" s="71"/>
      <c r="BD23" s="4"/>
      <c r="BE23" s="116"/>
      <c r="BF23" s="116"/>
      <c r="BG23" s="115"/>
      <c r="BH23" s="116"/>
      <c r="BI23" s="116"/>
      <c r="BJ23" s="72"/>
      <c r="BK23" s="71"/>
      <c r="BO23" s="4"/>
      <c r="BP23" s="116"/>
      <c r="BQ23" s="116"/>
      <c r="BR23" s="115"/>
      <c r="BS23" s="116"/>
      <c r="BT23" s="116"/>
      <c r="BU23" s="72"/>
      <c r="BV23" s="71"/>
      <c r="BW23" s="71"/>
    </row>
    <row r="24" spans="1:76" ht="16.5" customHeight="1" x14ac:dyDescent="0.25">
      <c r="A24" s="83"/>
      <c r="B24" s="88"/>
      <c r="C24" s="89"/>
      <c r="D24" s="90"/>
      <c r="E24" s="102"/>
      <c r="F24" s="102"/>
      <c r="G24" s="91"/>
      <c r="H24" s="71"/>
      <c r="AS24" s="4"/>
      <c r="AT24" s="116"/>
      <c r="AU24" s="116"/>
      <c r="AV24" s="115"/>
      <c r="AW24" s="116"/>
      <c r="AX24" s="116"/>
      <c r="AY24" s="72"/>
      <c r="AZ24" s="71"/>
      <c r="BD24" s="4"/>
      <c r="BE24" s="116"/>
      <c r="BF24" s="116"/>
      <c r="BG24" s="115"/>
      <c r="BH24" s="116"/>
      <c r="BI24" s="116"/>
      <c r="BJ24" s="72"/>
      <c r="BK24" s="71"/>
      <c r="BO24" s="4"/>
      <c r="BP24" s="116"/>
      <c r="BQ24" s="116"/>
      <c r="BR24" s="115"/>
      <c r="BS24" s="116"/>
      <c r="BT24" s="116"/>
      <c r="BU24" s="72"/>
      <c r="BV24" s="71"/>
      <c r="BW24" s="71"/>
    </row>
    <row r="25" spans="1:76" ht="16.5" customHeight="1" x14ac:dyDescent="0.25">
      <c r="A25" s="83"/>
      <c r="B25" s="88"/>
      <c r="C25" s="89"/>
      <c r="D25" s="90"/>
      <c r="E25" s="102"/>
      <c r="F25" s="102"/>
      <c r="G25" s="91"/>
      <c r="H25" s="71"/>
      <c r="AS25" s="4"/>
      <c r="AT25" s="116"/>
      <c r="AU25" s="116"/>
      <c r="AV25" s="115"/>
      <c r="AW25" s="116"/>
      <c r="AX25" s="116"/>
      <c r="AY25" s="72"/>
      <c r="AZ25" s="71"/>
      <c r="BD25" s="4"/>
      <c r="BE25" s="116"/>
      <c r="BF25" s="116"/>
      <c r="BG25" s="115"/>
      <c r="BH25" s="116"/>
      <c r="BI25" s="116"/>
      <c r="BJ25" s="72"/>
      <c r="BK25" s="71"/>
      <c r="BO25" s="4"/>
      <c r="BP25" s="116"/>
      <c r="BQ25" s="116"/>
      <c r="BR25" s="115"/>
      <c r="BS25" s="116"/>
      <c r="BT25" s="116"/>
      <c r="BU25" s="72"/>
      <c r="BV25" s="71"/>
      <c r="BW25" s="71"/>
    </row>
    <row r="26" spans="1:76" ht="16.5" customHeight="1" x14ac:dyDescent="0.25">
      <c r="A26" s="83"/>
      <c r="B26" s="88"/>
      <c r="C26" s="89"/>
      <c r="D26" s="90"/>
      <c r="E26" s="102"/>
      <c r="F26" s="102"/>
      <c r="G26" s="96"/>
      <c r="H26" s="71"/>
      <c r="AS26" s="4"/>
      <c r="AT26" s="116"/>
      <c r="AU26" s="116"/>
      <c r="AV26" s="115"/>
      <c r="AW26" s="116"/>
      <c r="AX26" s="116"/>
      <c r="AY26" s="72"/>
      <c r="AZ26" s="71"/>
      <c r="BD26" s="4"/>
      <c r="BE26" s="116"/>
      <c r="BF26" s="116"/>
      <c r="BG26" s="115"/>
      <c r="BH26" s="116"/>
      <c r="BI26" s="116"/>
      <c r="BJ26" s="72"/>
      <c r="BK26" s="71"/>
      <c r="BO26" s="4"/>
      <c r="BP26" s="116"/>
      <c r="BQ26" s="116"/>
      <c r="BR26" s="115"/>
      <c r="BS26" s="116"/>
      <c r="BT26" s="116"/>
      <c r="BU26" s="72"/>
      <c r="BV26" s="71"/>
      <c r="BW26" s="71"/>
    </row>
    <row r="27" spans="1:76" ht="16.5" customHeight="1" x14ac:dyDescent="0.25">
      <c r="A27" s="83"/>
      <c r="B27" s="103"/>
      <c r="C27" s="104"/>
      <c r="D27" s="105"/>
      <c r="E27" s="103"/>
      <c r="F27" s="104"/>
      <c r="G27" s="105"/>
      <c r="H27" s="71"/>
      <c r="AS27" s="4"/>
      <c r="AT27" s="116"/>
      <c r="AU27" s="116"/>
      <c r="AV27" s="115"/>
      <c r="AW27" s="71"/>
      <c r="AX27" s="116"/>
      <c r="AY27" s="72"/>
      <c r="AZ27" s="71"/>
      <c r="BD27" s="4"/>
      <c r="BE27" s="116"/>
      <c r="BF27" s="116"/>
      <c r="BG27" s="115"/>
      <c r="BH27" s="71"/>
      <c r="BI27" s="116"/>
      <c r="BJ27" s="72"/>
      <c r="BK27" s="71"/>
      <c r="BO27" s="4"/>
      <c r="BP27" s="116"/>
      <c r="BQ27" s="116"/>
      <c r="BR27" s="115"/>
      <c r="BS27" s="71"/>
      <c r="BT27" s="116"/>
      <c r="BU27" s="72"/>
      <c r="BV27" s="71"/>
      <c r="BW27" s="71"/>
    </row>
    <row r="28" spans="1:76" ht="16.5" customHeight="1" x14ac:dyDescent="0.4">
      <c r="A28" s="73"/>
      <c r="B28" s="106" t="s">
        <v>91</v>
      </c>
      <c r="C28" s="107" t="s">
        <v>92</v>
      </c>
      <c r="D28" s="108">
        <v>2</v>
      </c>
      <c r="E28" s="109"/>
      <c r="G28" s="110"/>
      <c r="H28" s="75"/>
      <c r="AT28" s="117"/>
      <c r="AU28" s="511"/>
      <c r="AV28" s="511"/>
      <c r="AW28" s="117"/>
      <c r="AX28" s="118"/>
      <c r="BE28" s="117"/>
      <c r="BF28" s="511"/>
      <c r="BG28" s="511"/>
      <c r="BH28" s="117"/>
      <c r="BI28" s="118"/>
      <c r="BP28" s="117"/>
      <c r="BQ28" s="511"/>
      <c r="BR28" s="511"/>
      <c r="BS28" s="117"/>
      <c r="BT28" s="511"/>
      <c r="BU28" s="511"/>
    </row>
    <row r="29" spans="1:76" ht="16.5" customHeight="1" x14ac:dyDescent="0.35">
      <c r="A29" s="73"/>
      <c r="B29" s="510" t="s">
        <v>93</v>
      </c>
      <c r="C29" s="513"/>
      <c r="D29" s="108">
        <f>SUM(D9:D28)</f>
        <v>2</v>
      </c>
      <c r="E29" s="111" t="s">
        <v>94</v>
      </c>
      <c r="F29" s="111"/>
      <c r="G29" s="108">
        <f>SUM(G10:G27)</f>
        <v>0</v>
      </c>
      <c r="AT29" s="510"/>
      <c r="AU29" s="510"/>
      <c r="AV29" s="72"/>
      <c r="AW29" s="510"/>
      <c r="AX29" s="510"/>
      <c r="AY29" s="111"/>
      <c r="BE29" s="510"/>
      <c r="BF29" s="510"/>
      <c r="BG29" s="72"/>
      <c r="BH29" s="510"/>
      <c r="BI29" s="510"/>
      <c r="BJ29" s="72"/>
      <c r="BP29" s="510"/>
      <c r="BQ29" s="510"/>
      <c r="BR29" s="72"/>
      <c r="BS29" s="510"/>
      <c r="BT29" s="510"/>
      <c r="BU29" s="72"/>
    </row>
    <row r="30" spans="1:76" ht="16.5" customHeight="1" x14ac:dyDescent="0.25">
      <c r="A30" s="73"/>
      <c r="D30" s="73"/>
      <c r="G30" s="73"/>
    </row>
    <row r="31" spans="1:76" ht="24.75" customHeight="1" x14ac:dyDescent="0.5">
      <c r="A31" s="73"/>
      <c r="B31" s="510" t="s">
        <v>95</v>
      </c>
      <c r="C31" s="513"/>
      <c r="D31" s="112">
        <f>IF(AND((IF(D29&gt;=66,INT((D29-60)/6),0)=IF(G29&gt;=66,INT((G29-60)/6),0)),(D29-G29)&gt;=4),IF(D29&gt;=66,INT((D29-60)/6)+1+IF((D29-G29)&gt;=10,INT((D29-G29)/10),0),IF(AND(D29&lt;66,G29&lt;66,(D29-G29)&gt;=6),1,0)),IF(D29&gt;=66,INT((D29-60)/6)+IF((D29-G29)&gt;=10,INT((D29-G29)/10),0),IF(AND(D29&lt;66,G29&lt;66,(D29-G29)&gt;=6),1,0)))</f>
        <v>0</v>
      </c>
      <c r="G31" s="112">
        <f>IF(AND((IF(G29&gt;=66,INT((G29-60)/6),0)=IF(D29&gt;=66,INT((D29-60)/6),0)),(G29-D29)&gt;=4),IF(G29&gt;=66,INT((G29-60)/6)+1+IF((G29-D29)&gt;=10,INT((G29-D29)/10),0),IF(AND(D29&lt;66,G29&lt;66,(G29-D29)&gt;=6),1,0)),IF(G29&gt;=66,INT((G29-60)/6)+IF((G29-D29)&gt;=10,INT((G29-D29)/10),0),IF(AND(D29&lt;66,G29&lt;66,(G29-D29)&gt;=6),1,0)))</f>
        <v>0</v>
      </c>
      <c r="AT31" s="510"/>
      <c r="AU31" s="510"/>
      <c r="AV31" s="72"/>
      <c r="AY31" s="72"/>
      <c r="BE31" s="510"/>
      <c r="BF31" s="510"/>
      <c r="BG31" s="72"/>
      <c r="BJ31" s="72"/>
      <c r="BP31" s="510"/>
      <c r="BQ31" s="510"/>
      <c r="BR31" s="72"/>
      <c r="BU31" s="72"/>
    </row>
    <row r="32" spans="1:76" ht="16.5" customHeight="1" x14ac:dyDescent="0.25">
      <c r="A32" s="73"/>
      <c r="E32" s="75"/>
      <c r="G32" s="73"/>
    </row>
  </sheetData>
  <mergeCells count="35">
    <mergeCell ref="BN6:BN7"/>
    <mergeCell ref="BW6:BW7"/>
    <mergeCell ref="BX6:BX7"/>
    <mergeCell ref="BY6:BY7"/>
    <mergeCell ref="BW4:BY5"/>
    <mergeCell ref="BA4:BC5"/>
    <mergeCell ref="BL4:BN5"/>
    <mergeCell ref="BS29:BT29"/>
    <mergeCell ref="B31:C31"/>
    <mergeCell ref="AT31:AU31"/>
    <mergeCell ref="BE31:BF31"/>
    <mergeCell ref="BP31:BQ31"/>
    <mergeCell ref="BA6:BA7"/>
    <mergeCell ref="BB6:BB7"/>
    <mergeCell ref="BC6:BC7"/>
    <mergeCell ref="BL6:BL7"/>
    <mergeCell ref="BM6:BM7"/>
    <mergeCell ref="B29:C29"/>
    <mergeCell ref="AT29:AU29"/>
    <mergeCell ref="AW29:AX29"/>
    <mergeCell ref="BE29:BF29"/>
    <mergeCell ref="BH29:BI29"/>
    <mergeCell ref="BP29:BQ29"/>
    <mergeCell ref="BP9:BQ9"/>
    <mergeCell ref="BS9:BT9"/>
    <mergeCell ref="AU28:AV28"/>
    <mergeCell ref="BF28:BG28"/>
    <mergeCell ref="BQ28:BR28"/>
    <mergeCell ref="BT28:BU28"/>
    <mergeCell ref="BH9:BI9"/>
    <mergeCell ref="B9:C9"/>
    <mergeCell ref="E9:F9"/>
    <mergeCell ref="AT9:AU9"/>
    <mergeCell ref="AW9:AX9"/>
    <mergeCell ref="BE9:BF9"/>
  </mergeCells>
  <pageMargins left="0.75" right="0.75" top="1" bottom="1" header="0.5" footer="0.5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9D7C-A6E0-429D-B2D6-9E0CD582797A}">
  <sheetPr codeName="Foglio8">
    <tabColor indexed="11"/>
  </sheetPr>
  <dimension ref="A1:N38"/>
  <sheetViews>
    <sheetView zoomScale="130" zoomScaleNormal="130" workbookViewId="0">
      <selection activeCell="H15" sqref="H15:L15"/>
    </sheetView>
  </sheetViews>
  <sheetFormatPr defaultRowHeight="13.5" customHeight="1" x14ac:dyDescent="0.25"/>
  <cols>
    <col min="1" max="1" width="6.08984375" customWidth="1"/>
    <col min="2" max="2" width="13.453125" customWidth="1"/>
    <col min="3" max="4" width="7.90625" customWidth="1"/>
    <col min="5" max="5" width="10.90625" customWidth="1"/>
    <col min="6" max="6" width="3.453125" customWidth="1"/>
    <col min="7" max="7" width="13" customWidth="1"/>
    <col min="8" max="8" width="13.54296875" customWidth="1"/>
    <col min="9" max="9" width="13.08984375" customWidth="1"/>
    <col min="10" max="12" width="11.08984375" customWidth="1"/>
    <col min="13" max="13" width="4.54296875" customWidth="1"/>
    <col min="14" max="14" width="9.6328125" customWidth="1"/>
    <col min="15" max="20" width="9" customWidth="1"/>
  </cols>
  <sheetData>
    <row r="1" spans="1:14" ht="13.5" customHeight="1" x14ac:dyDescent="0.4">
      <c r="A1" s="9"/>
      <c r="B1" s="9"/>
      <c r="C1" s="9"/>
      <c r="D1" s="9"/>
      <c r="E1" s="9"/>
      <c r="I1" s="9"/>
      <c r="J1" s="9"/>
      <c r="K1" s="9"/>
    </row>
    <row r="2" spans="1:14" ht="13.5" customHeight="1" x14ac:dyDescent="0.3">
      <c r="B2" s="11"/>
      <c r="C2" s="514" t="s">
        <v>96</v>
      </c>
      <c r="D2" s="515"/>
      <c r="L2" s="11"/>
    </row>
    <row r="3" spans="1:14" ht="13.5" customHeight="1" x14ac:dyDescent="0.3">
      <c r="B3" s="12" t="s">
        <v>97</v>
      </c>
      <c r="C3" s="13" t="s">
        <v>98</v>
      </c>
      <c r="D3" s="13" t="s">
        <v>99</v>
      </c>
      <c r="E3" s="14" t="s">
        <v>100</v>
      </c>
      <c r="F3" s="15"/>
      <c r="H3" s="516" t="s">
        <v>101</v>
      </c>
      <c r="I3" s="517"/>
    </row>
    <row r="4" spans="1:14" ht="13.5" customHeight="1" x14ac:dyDescent="0.3">
      <c r="B4" s="16" t="str">
        <f>CAMPIONATO!AX6</f>
        <v>Eugenio</v>
      </c>
      <c r="C4" s="16">
        <f>CAMPIONATO!BG6</f>
        <v>0</v>
      </c>
      <c r="D4" s="17">
        <f>((-1*C12)+C4+C5+C6)/100*80-C4</f>
        <v>0</v>
      </c>
      <c r="E4" s="18">
        <f>SUM(D4,C4)</f>
        <v>0</v>
      </c>
      <c r="F4" s="19" t="s">
        <v>102</v>
      </c>
      <c r="H4" s="20">
        <v>-1</v>
      </c>
      <c r="I4" s="50" t="s">
        <v>103</v>
      </c>
      <c r="J4" s="51"/>
    </row>
    <row r="5" spans="1:14" ht="13.5" customHeight="1" x14ac:dyDescent="0.3">
      <c r="B5" s="21" t="str">
        <f>CAMPIONATO!AX8</f>
        <v>Riccardo</v>
      </c>
      <c r="C5" s="21">
        <f>CAMPIONATO!BG8</f>
        <v>0</v>
      </c>
      <c r="D5" s="22">
        <f>((-1*C12)+C4+C5+C6)/100*20-C5</f>
        <v>0</v>
      </c>
      <c r="E5" s="23">
        <f>SUM(D5,C5)</f>
        <v>0</v>
      </c>
      <c r="F5" s="24" t="s">
        <v>102</v>
      </c>
      <c r="H5" s="25">
        <v>-2</v>
      </c>
      <c r="I5" s="52" t="s">
        <v>104</v>
      </c>
      <c r="J5" s="51"/>
    </row>
    <row r="6" spans="1:14" ht="13.5" customHeight="1" x14ac:dyDescent="0.3">
      <c r="B6" s="16" t="str">
        <f>CAMPIONATO!AX10</f>
        <v>Enrico</v>
      </c>
      <c r="C6" s="16">
        <f>CAMPIONATO!BG10</f>
        <v>0</v>
      </c>
      <c r="D6" s="17">
        <f>C6*-1</f>
        <v>0</v>
      </c>
      <c r="E6" s="18">
        <f>SUM(D6,C6)</f>
        <v>0</v>
      </c>
      <c r="F6" s="19" t="s">
        <v>102</v>
      </c>
    </row>
    <row r="7" spans="1:14" ht="13.5" customHeight="1" x14ac:dyDescent="0.3">
      <c r="B7" s="21" t="str">
        <f>CAMPIONATO!AX12</f>
        <v>Vincenzo</v>
      </c>
      <c r="C7" s="21">
        <f>CAMPIONATO!BG12</f>
        <v>0</v>
      </c>
      <c r="D7" s="22"/>
      <c r="E7" s="23">
        <f t="shared" ref="E7:E12" si="0">SUM(D7,C7)</f>
        <v>0</v>
      </c>
      <c r="F7" s="24" t="s">
        <v>102</v>
      </c>
    </row>
    <row r="8" spans="1:14" ht="13.5" customHeight="1" x14ac:dyDescent="0.3">
      <c r="B8" s="16" t="str">
        <f>CAMPIONATO!AX14</f>
        <v>Molina</v>
      </c>
      <c r="C8" s="16">
        <f>CAMPIONATO!BG14</f>
        <v>0</v>
      </c>
      <c r="D8" s="17"/>
      <c r="E8" s="18">
        <f t="shared" si="0"/>
        <v>0</v>
      </c>
      <c r="F8" s="19" t="s">
        <v>102</v>
      </c>
    </row>
    <row r="9" spans="1:14" ht="13.5" customHeight="1" x14ac:dyDescent="0.3">
      <c r="B9" s="21" t="str">
        <f>CAMPIONATO!AX16</f>
        <v>Daniele</v>
      </c>
      <c r="C9" s="21">
        <f>CAMPIONATO!BG16</f>
        <v>0</v>
      </c>
      <c r="D9" s="22"/>
      <c r="E9" s="23">
        <f t="shared" si="0"/>
        <v>0</v>
      </c>
      <c r="F9" s="24" t="s">
        <v>102</v>
      </c>
    </row>
    <row r="10" spans="1:14" ht="13.5" customHeight="1" x14ac:dyDescent="0.3">
      <c r="B10" s="16" t="str">
        <f>CAMPIONATO!AX18</f>
        <v>Fabrizio</v>
      </c>
      <c r="C10" s="16">
        <f>CAMPIONATO!BG18</f>
        <v>0</v>
      </c>
      <c r="D10" s="17"/>
      <c r="E10" s="18">
        <f t="shared" si="0"/>
        <v>0</v>
      </c>
      <c r="F10" s="19" t="s">
        <v>102</v>
      </c>
    </row>
    <row r="11" spans="1:14" ht="13.5" customHeight="1" x14ac:dyDescent="0.3">
      <c r="B11" s="26" t="str">
        <f>CAMPIONATO!AX20</f>
        <v>Dario</v>
      </c>
      <c r="C11" s="26">
        <f>CAMPIONATO!BG20</f>
        <v>0</v>
      </c>
      <c r="D11" s="27"/>
      <c r="E11" s="28">
        <f t="shared" si="0"/>
        <v>0</v>
      </c>
      <c r="F11" s="29" t="s">
        <v>102</v>
      </c>
      <c r="I11" s="514" t="s">
        <v>105</v>
      </c>
      <c r="J11" s="518"/>
      <c r="K11" s="53"/>
    </row>
    <row r="12" spans="1:14" ht="13.5" customHeight="1" x14ac:dyDescent="0.25">
      <c r="B12" s="30" t="s">
        <v>106</v>
      </c>
      <c r="C12" s="31">
        <f>SUM(C4:C11)</f>
        <v>0</v>
      </c>
      <c r="D12" s="32">
        <f>SUM(D4:D11)</f>
        <v>0</v>
      </c>
      <c r="E12" s="33">
        <f t="shared" si="0"/>
        <v>0</v>
      </c>
      <c r="F12" s="34" t="s">
        <v>102</v>
      </c>
      <c r="H12" s="12" t="s">
        <v>97</v>
      </c>
      <c r="I12" s="13" t="s">
        <v>107</v>
      </c>
      <c r="J12" s="13" t="s">
        <v>108</v>
      </c>
      <c r="K12" s="13" t="s">
        <v>87</v>
      </c>
      <c r="L12" s="54" t="s">
        <v>100</v>
      </c>
      <c r="M12" s="41"/>
    </row>
    <row r="13" spans="1:14" ht="13.5" customHeight="1" x14ac:dyDescent="0.3">
      <c r="B13" t="s">
        <v>109</v>
      </c>
      <c r="E13" s="35">
        <v>224</v>
      </c>
      <c r="H13" s="36" t="str">
        <f>CAMPIONATO!AX6</f>
        <v>Eugenio</v>
      </c>
      <c r="I13" s="55">
        <f>E4</f>
        <v>0</v>
      </c>
      <c r="J13" s="56">
        <f>E20</f>
        <v>0</v>
      </c>
      <c r="K13" s="56"/>
      <c r="L13" s="57">
        <f t="shared" ref="L13:L20" si="1">SUM(ROUND(J13,0),ROUND(I13,0),ROUND(K13,0))</f>
        <v>0</v>
      </c>
      <c r="M13" s="58" t="s">
        <v>102</v>
      </c>
      <c r="N13" s="43">
        <f>IF(L13&gt;0,0,L13)</f>
        <v>0</v>
      </c>
    </row>
    <row r="14" spans="1:14" ht="13.5" customHeight="1" x14ac:dyDescent="0.3">
      <c r="B14" s="37" t="s">
        <v>110</v>
      </c>
      <c r="E14" s="38">
        <f>C12*(-1)</f>
        <v>0</v>
      </c>
      <c r="H14" s="39" t="str">
        <f>CAMPIONATO!AX8</f>
        <v>Riccardo</v>
      </c>
      <c r="I14" s="45">
        <f t="shared" ref="I14:I20" si="2">E5</f>
        <v>0</v>
      </c>
      <c r="J14" s="22">
        <f t="shared" ref="J14:J20" si="3">E21</f>
        <v>0</v>
      </c>
      <c r="K14" s="22"/>
      <c r="L14" s="59">
        <f t="shared" si="1"/>
        <v>0</v>
      </c>
      <c r="M14" s="60" t="s">
        <v>102</v>
      </c>
      <c r="N14" s="43">
        <f t="shared" ref="N14:N21" si="4">IF(L14&gt;0,0,L14)</f>
        <v>0</v>
      </c>
    </row>
    <row r="15" spans="1:14" ht="13.5" customHeight="1" x14ac:dyDescent="0.3">
      <c r="H15" s="40" t="str">
        <f>CAMPIONATO!AX10</f>
        <v>Enrico</v>
      </c>
      <c r="I15" s="42">
        <f t="shared" si="2"/>
        <v>0</v>
      </c>
      <c r="J15" s="17">
        <f t="shared" si="3"/>
        <v>0</v>
      </c>
      <c r="K15" s="17"/>
      <c r="L15" s="61">
        <f t="shared" si="1"/>
        <v>0</v>
      </c>
      <c r="M15" s="62" t="s">
        <v>102</v>
      </c>
      <c r="N15" s="43">
        <f t="shared" si="4"/>
        <v>0</v>
      </c>
    </row>
    <row r="16" spans="1:14" ht="13.5" customHeight="1" x14ac:dyDescent="0.3">
      <c r="H16" s="39" t="str">
        <f>CAMPIONATO!AX12</f>
        <v>Vincenzo</v>
      </c>
      <c r="I16" s="45">
        <f t="shared" si="2"/>
        <v>0</v>
      </c>
      <c r="J16" s="22">
        <f t="shared" si="3"/>
        <v>0</v>
      </c>
      <c r="K16" s="22"/>
      <c r="L16" s="59">
        <f t="shared" si="1"/>
        <v>0</v>
      </c>
      <c r="M16" s="60" t="s">
        <v>102</v>
      </c>
      <c r="N16" s="43">
        <f t="shared" si="4"/>
        <v>0</v>
      </c>
    </row>
    <row r="17" spans="1:14" ht="13.5" customHeight="1" x14ac:dyDescent="0.3">
      <c r="A17" s="11"/>
      <c r="H17" s="40" t="str">
        <f>CAMPIONATO!AX14</f>
        <v>Molina</v>
      </c>
      <c r="I17" s="42">
        <f t="shared" si="2"/>
        <v>0</v>
      </c>
      <c r="J17" s="17">
        <f t="shared" si="3"/>
        <v>0</v>
      </c>
      <c r="K17" s="17"/>
      <c r="L17" s="61">
        <f t="shared" si="1"/>
        <v>0</v>
      </c>
      <c r="M17" s="62" t="s">
        <v>102</v>
      </c>
      <c r="N17" s="43">
        <f t="shared" si="4"/>
        <v>0</v>
      </c>
    </row>
    <row r="18" spans="1:14" ht="13.5" customHeight="1" x14ac:dyDescent="0.3">
      <c r="B18" s="11"/>
      <c r="C18" s="514" t="s">
        <v>111</v>
      </c>
      <c r="D18" s="519"/>
      <c r="H18" s="39" t="str">
        <f>CAMPIONATO!AX16</f>
        <v>Daniele</v>
      </c>
      <c r="I18" s="45">
        <f t="shared" si="2"/>
        <v>0</v>
      </c>
      <c r="J18" s="22">
        <f t="shared" si="3"/>
        <v>0</v>
      </c>
      <c r="K18" s="22"/>
      <c r="L18" s="59">
        <f t="shared" si="1"/>
        <v>0</v>
      </c>
      <c r="M18" s="60" t="s">
        <v>102</v>
      </c>
      <c r="N18" s="43">
        <f t="shared" si="4"/>
        <v>0</v>
      </c>
    </row>
    <row r="19" spans="1:14" ht="13.5" customHeight="1" x14ac:dyDescent="0.3">
      <c r="B19" s="12" t="s">
        <v>97</v>
      </c>
      <c r="C19" s="13" t="s">
        <v>98</v>
      </c>
      <c r="D19" s="13" t="s">
        <v>99</v>
      </c>
      <c r="E19" s="14" t="s">
        <v>100</v>
      </c>
      <c r="F19" s="41"/>
      <c r="H19" s="40" t="str">
        <f>CAMPIONATO!AX18</f>
        <v>Fabrizio</v>
      </c>
      <c r="I19" s="42">
        <f t="shared" si="2"/>
        <v>0</v>
      </c>
      <c r="J19" s="17">
        <f t="shared" si="3"/>
        <v>0</v>
      </c>
      <c r="K19" s="17"/>
      <c r="L19" s="61">
        <f t="shared" si="1"/>
        <v>0</v>
      </c>
      <c r="M19" s="62" t="s">
        <v>102</v>
      </c>
      <c r="N19" s="43">
        <f t="shared" si="4"/>
        <v>0</v>
      </c>
    </row>
    <row r="20" spans="1:14" ht="13.5" customHeight="1" x14ac:dyDescent="0.3">
      <c r="B20" s="36" t="str">
        <f>CAMPIONATO!AX6</f>
        <v>Eugenio</v>
      </c>
      <c r="C20" s="42">
        <f>COPPETTA!J9+COPPETTA!K9</f>
        <v>0</v>
      </c>
      <c r="D20" s="17" t="str">
        <f>IF(COPPETTA!$Y$35&lt;&gt;"? ? ? ? ? ? ? ?",IF(B20=COPPETTA!$Y$35,$E$31,IF(OR(B20=COPPETTA!$X$29,B20=COPPETTA!$Y$29),$E$32,"")),"")</f>
        <v/>
      </c>
      <c r="E20" s="18">
        <f t="shared" ref="E20:E28" si="5">SUM(D20,C20)</f>
        <v>0</v>
      </c>
      <c r="F20" s="19" t="s">
        <v>102</v>
      </c>
      <c r="G20" s="43"/>
      <c r="H20" s="44" t="str">
        <f>CAMPIONATO!AX20</f>
        <v>Dario</v>
      </c>
      <c r="I20" s="47">
        <f t="shared" si="2"/>
        <v>0</v>
      </c>
      <c r="J20" s="27">
        <f t="shared" si="3"/>
        <v>0</v>
      </c>
      <c r="K20" s="27"/>
      <c r="L20" s="63">
        <f t="shared" si="1"/>
        <v>0</v>
      </c>
      <c r="M20" s="64" t="s">
        <v>102</v>
      </c>
      <c r="N20" s="43">
        <f t="shared" si="4"/>
        <v>0</v>
      </c>
    </row>
    <row r="21" spans="1:14" ht="13.5" customHeight="1" x14ac:dyDescent="0.3">
      <c r="B21" s="39" t="str">
        <f>CAMPIONATO!AX8</f>
        <v>Riccardo</v>
      </c>
      <c r="C21" s="22">
        <f>COPPETTA!J10+COPPETTA!K10</f>
        <v>0</v>
      </c>
      <c r="D21" s="22" t="str">
        <f>IF(COPPETTA!$Y$35&lt;&gt;"? ? ? ? ? ? ? ?",IF(B21=COPPETTA!$Y$35,$E$31,IF(OR(B21=COPPETTA!$X$29,B21=COPPETTA!$Y$29),$E$32,"")),"")</f>
        <v/>
      </c>
      <c r="E21" s="23">
        <f t="shared" si="5"/>
        <v>0</v>
      </c>
      <c r="F21" s="24" t="s">
        <v>102</v>
      </c>
      <c r="G21" s="43"/>
      <c r="H21" s="46" t="s">
        <v>106</v>
      </c>
      <c r="I21" s="65">
        <f>SUM(I13:I20)</f>
        <v>0</v>
      </c>
      <c r="J21" s="32">
        <f>SUM(J13:J20)</f>
        <v>0</v>
      </c>
      <c r="K21" s="66">
        <f>SUM(K13:K20)</f>
        <v>0</v>
      </c>
      <c r="L21" s="33">
        <f>SUM(L13:L20)</f>
        <v>0</v>
      </c>
      <c r="M21" s="48" t="s">
        <v>102</v>
      </c>
      <c r="N21" s="43">
        <f t="shared" si="4"/>
        <v>0</v>
      </c>
    </row>
    <row r="22" spans="1:14" ht="13.5" customHeight="1" x14ac:dyDescent="0.3">
      <c r="B22" s="40" t="str">
        <f>CAMPIONATO!AX10</f>
        <v>Enrico</v>
      </c>
      <c r="C22" s="42">
        <f>COPPETTA!J11+COPPETTA!K11</f>
        <v>0</v>
      </c>
      <c r="D22" s="17">
        <f>IF(COPPETTA!$Y$35&lt;&gt;"? ? ? ? ? ? ? ?",IF(B22=COPPETTA!$Y$35,$E$31,IF(OR(B22=COPPETTA!$X$29,B22=COPPETTA!$Y$29),$E$32,"")),"")</f>
        <v>0</v>
      </c>
      <c r="E22" s="18">
        <f t="shared" si="5"/>
        <v>0</v>
      </c>
      <c r="F22" s="19" t="s">
        <v>102</v>
      </c>
      <c r="G22" s="43"/>
      <c r="H22" s="30" t="s">
        <v>112</v>
      </c>
      <c r="I22" s="67"/>
      <c r="J22" s="67"/>
      <c r="K22" s="67"/>
      <c r="L22" s="68">
        <f>SUM(N13:N20)</f>
        <v>0</v>
      </c>
      <c r="M22" s="69" t="s">
        <v>102</v>
      </c>
    </row>
    <row r="23" spans="1:14" ht="13.5" customHeight="1" x14ac:dyDescent="0.3">
      <c r="B23" s="39" t="str">
        <f>CAMPIONATO!AX12</f>
        <v>Vincenzo</v>
      </c>
      <c r="C23" s="22">
        <f>COPPETTA!J12+COPPETTA!K12</f>
        <v>0</v>
      </c>
      <c r="D23" s="22">
        <f>IF(COPPETTA!$Y$35&lt;&gt;"? ? ? ? ? ? ? ?",IF(B23=COPPETTA!$Y$35,$E$31,IF(OR(B23=COPPETTA!$X$29,B23=COPPETTA!$Y$29),$E$32,"")),"")</f>
        <v>0</v>
      </c>
      <c r="E23" s="23">
        <f t="shared" si="5"/>
        <v>0</v>
      </c>
      <c r="F23" s="24" t="s">
        <v>102</v>
      </c>
      <c r="G23" s="43"/>
      <c r="H23" t="s">
        <v>113</v>
      </c>
      <c r="J23" s="35">
        <f>E13+E29</f>
        <v>274</v>
      </c>
    </row>
    <row r="24" spans="1:14" ht="13.5" customHeight="1" x14ac:dyDescent="0.3">
      <c r="B24" s="40" t="str">
        <f>CAMPIONATO!AX14</f>
        <v>Molina</v>
      </c>
      <c r="C24" s="42">
        <f>COPPETTA!V9+COPPETTA!W9</f>
        <v>0</v>
      </c>
      <c r="D24" s="17" t="str">
        <f>IF(COPPETTA!$Y$35&lt;&gt;"? ? ? ? ? ? ? ?",IF(B24=COPPETTA!$Y$35,$E$31,IF(OR(B24=COPPETTA!$X$29,B24=COPPETTA!$Y$29),$E$32,"")),"")</f>
        <v/>
      </c>
      <c r="E24" s="18">
        <f t="shared" si="5"/>
        <v>0</v>
      </c>
      <c r="F24" s="19" t="s">
        <v>102</v>
      </c>
      <c r="G24" s="43"/>
      <c r="H24" s="37" t="s">
        <v>110</v>
      </c>
      <c r="J24" s="38">
        <f>E14+E30</f>
        <v>0</v>
      </c>
      <c r="L24" s="49"/>
    </row>
    <row r="25" spans="1:14" ht="13.5" customHeight="1" x14ac:dyDescent="0.3">
      <c r="B25" s="39" t="str">
        <f>CAMPIONATO!AX16</f>
        <v>Daniele</v>
      </c>
      <c r="C25" s="45">
        <f>COPPETTA!V10+COPPETTA!W10</f>
        <v>0</v>
      </c>
      <c r="D25" s="22" t="str">
        <f>IF(COPPETTA!$Y$35&lt;&gt;"? ? ? ? ? ? ? ?",IF(B25=COPPETTA!$Y$35,$E$31,IF(OR(B25=COPPETTA!$X$29,B25=COPPETTA!$Y$29),$E$32,"")),"")</f>
        <v/>
      </c>
      <c r="E25" s="23">
        <f t="shared" si="5"/>
        <v>0</v>
      </c>
      <c r="F25" s="24" t="s">
        <v>102</v>
      </c>
      <c r="G25" s="43"/>
    </row>
    <row r="26" spans="1:14" ht="13.5" customHeight="1" x14ac:dyDescent="0.3">
      <c r="B26" s="40" t="str">
        <f>CAMPIONATO!AX18</f>
        <v>Fabrizio</v>
      </c>
      <c r="C26" s="42">
        <f>COPPETTA!V11+COPPETTA!W11</f>
        <v>0</v>
      </c>
      <c r="D26" s="17" t="str">
        <f>IF(COPPETTA!$Y$35&lt;&gt;"? ? ? ? ? ? ? ?",IF(B26=COPPETTA!$Y$35,$E$31,IF(OR(B26=COPPETTA!$X$29,B26=COPPETTA!$Y$29),$E$32,"")),"")</f>
        <v/>
      </c>
      <c r="E26" s="18">
        <f t="shared" si="5"/>
        <v>0</v>
      </c>
      <c r="F26" s="19" t="s">
        <v>102</v>
      </c>
      <c r="G26" s="43"/>
    </row>
    <row r="27" spans="1:14" ht="13.5" customHeight="1" x14ac:dyDescent="0.3">
      <c r="B27" s="44" t="str">
        <f>CAMPIONATO!AX20</f>
        <v>Dario</v>
      </c>
      <c r="C27" s="47">
        <f>COPPETTA!V12+COPPETTA!W12</f>
        <v>0</v>
      </c>
      <c r="D27" s="27" t="str">
        <f>IF(COPPETTA!$Y$35&lt;&gt;"? ? ? ? ? ? ? ?",IF(B27=COPPETTA!$Y$35,$E$31,IF(OR(B27=COPPETTA!$X$29,B27=COPPETTA!$Y$29),$E$32,"")),"")</f>
        <v/>
      </c>
      <c r="E27" s="28">
        <f t="shared" si="5"/>
        <v>0</v>
      </c>
      <c r="F27" s="29" t="s">
        <v>102</v>
      </c>
      <c r="G27" s="43"/>
    </row>
    <row r="28" spans="1:14" ht="13.5" customHeight="1" x14ac:dyDescent="0.25">
      <c r="B28" s="30" t="s">
        <v>106</v>
      </c>
      <c r="C28" s="31">
        <f>SUM(C20:C27)</f>
        <v>0</v>
      </c>
      <c r="D28" s="32">
        <f>SUM(D20:D27)</f>
        <v>0</v>
      </c>
      <c r="E28" s="33">
        <f t="shared" si="5"/>
        <v>0</v>
      </c>
      <c r="F28" s="48" t="s">
        <v>102</v>
      </c>
    </row>
    <row r="29" spans="1:14" ht="13.5" customHeight="1" x14ac:dyDescent="0.25">
      <c r="B29" t="s">
        <v>114</v>
      </c>
      <c r="E29" s="35">
        <v>50</v>
      </c>
    </row>
    <row r="30" spans="1:14" ht="13.5" customHeight="1" x14ac:dyDescent="0.25">
      <c r="B30" s="37" t="s">
        <v>110</v>
      </c>
      <c r="E30" s="38">
        <f>C28*(-1)</f>
        <v>0</v>
      </c>
    </row>
    <row r="31" spans="1:14" ht="13.5" customHeight="1" x14ac:dyDescent="0.25">
      <c r="B31" t="s">
        <v>115</v>
      </c>
      <c r="E31" s="49">
        <f>E30/100*80</f>
        <v>0</v>
      </c>
      <c r="G31" t="s">
        <v>116</v>
      </c>
    </row>
    <row r="32" spans="1:14" ht="13.5" customHeight="1" x14ac:dyDescent="0.25">
      <c r="B32" t="s">
        <v>117</v>
      </c>
      <c r="E32" s="49">
        <f>E30-E31</f>
        <v>0</v>
      </c>
      <c r="G32" t="s">
        <v>118</v>
      </c>
    </row>
    <row r="33" spans="2:5" ht="13.5" customHeight="1" x14ac:dyDescent="0.25">
      <c r="E33" s="49"/>
    </row>
    <row r="34" spans="2:5" ht="13.5" customHeight="1" x14ac:dyDescent="0.25">
      <c r="B34" t="s">
        <v>119</v>
      </c>
      <c r="E34" s="49"/>
    </row>
    <row r="35" spans="2:5" ht="13.5" customHeight="1" x14ac:dyDescent="0.25">
      <c r="B35" t="s">
        <v>120</v>
      </c>
    </row>
    <row r="36" spans="2:5" ht="13.5" customHeight="1" x14ac:dyDescent="0.25">
      <c r="B36" t="s">
        <v>246</v>
      </c>
    </row>
    <row r="37" spans="2:5" ht="13.5" customHeight="1" x14ac:dyDescent="0.25">
      <c r="B37" t="s">
        <v>121</v>
      </c>
    </row>
    <row r="38" spans="2:5" ht="13.5" customHeight="1" x14ac:dyDescent="0.25">
      <c r="B38" t="s">
        <v>122</v>
      </c>
    </row>
  </sheetData>
  <protectedRanges>
    <protectedRange sqref="K13:K20" name="Intervallo1"/>
  </protectedRanges>
  <mergeCells count="4">
    <mergeCell ref="C2:D2"/>
    <mergeCell ref="H3:I3"/>
    <mergeCell ref="I11:J11"/>
    <mergeCell ref="C18:D18"/>
  </mergeCells>
  <pageMargins left="0.75" right="0.75" top="1" bottom="1" header="0.5" footer="0.5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8624-55A3-4327-9A7D-E361933367FE}">
  <sheetPr codeName="Foglio9">
    <tabColor indexed="31"/>
  </sheetPr>
  <dimension ref="A1:Y147"/>
  <sheetViews>
    <sheetView topLeftCell="A85" zoomScaleNormal="100" workbookViewId="0">
      <selection activeCell="A142" sqref="A142:IV142"/>
    </sheetView>
  </sheetViews>
  <sheetFormatPr defaultRowHeight="12.5" x14ac:dyDescent="0.25"/>
  <sheetData>
    <row r="1" spans="1:6" x14ac:dyDescent="0.25">
      <c r="A1" s="520" t="s">
        <v>123</v>
      </c>
      <c r="B1" s="521"/>
      <c r="C1" s="521"/>
      <c r="D1" s="521"/>
      <c r="E1" s="521"/>
      <c r="F1" s="521"/>
    </row>
    <row r="2" spans="1:6" x14ac:dyDescent="0.25">
      <c r="A2" s="521"/>
      <c r="B2" s="521"/>
      <c r="C2" s="521"/>
      <c r="D2" s="521"/>
      <c r="E2" s="521"/>
      <c r="F2" s="521"/>
    </row>
    <row r="3" spans="1:6" ht="13" x14ac:dyDescent="0.3">
      <c r="A3" s="1" t="s">
        <v>124</v>
      </c>
      <c r="B3" s="2" t="s">
        <v>125</v>
      </c>
    </row>
    <row r="4" spans="1:6" ht="13" x14ac:dyDescent="0.3">
      <c r="A4" s="3"/>
    </row>
    <row r="5" spans="1:6" ht="13" x14ac:dyDescent="0.3">
      <c r="A5" s="3" t="s">
        <v>126</v>
      </c>
      <c r="B5" t="s">
        <v>127</v>
      </c>
    </row>
    <row r="6" spans="1:6" ht="13" x14ac:dyDescent="0.3">
      <c r="A6" s="3"/>
      <c r="B6" t="s">
        <v>128</v>
      </c>
    </row>
    <row r="7" spans="1:6" x14ac:dyDescent="0.25">
      <c r="A7" s="4"/>
    </row>
    <row r="8" spans="1:6" ht="13" x14ac:dyDescent="0.3">
      <c r="A8" s="3" t="s">
        <v>129</v>
      </c>
      <c r="B8" t="s">
        <v>130</v>
      </c>
    </row>
    <row r="9" spans="1:6" x14ac:dyDescent="0.25">
      <c r="A9" s="4"/>
    </row>
    <row r="10" spans="1:6" ht="13" x14ac:dyDescent="0.3">
      <c r="A10" s="3" t="s">
        <v>131</v>
      </c>
      <c r="B10" t="s">
        <v>132</v>
      </c>
    </row>
    <row r="11" spans="1:6" x14ac:dyDescent="0.25">
      <c r="A11" s="4"/>
    </row>
    <row r="12" spans="1:6" ht="13" x14ac:dyDescent="0.3">
      <c r="A12" s="3" t="s">
        <v>133</v>
      </c>
      <c r="B12" t="s">
        <v>134</v>
      </c>
    </row>
    <row r="13" spans="1:6" ht="13" x14ac:dyDescent="0.3">
      <c r="A13" s="3"/>
      <c r="B13" t="s">
        <v>135</v>
      </c>
    </row>
    <row r="14" spans="1:6" ht="13" x14ac:dyDescent="0.3">
      <c r="A14" s="3"/>
      <c r="B14" t="s">
        <v>136</v>
      </c>
    </row>
    <row r="15" spans="1:6" x14ac:dyDescent="0.25">
      <c r="A15" s="4"/>
      <c r="B15" t="s">
        <v>137</v>
      </c>
    </row>
    <row r="16" spans="1:6" x14ac:dyDescent="0.25">
      <c r="A16" s="4"/>
      <c r="B16" t="s">
        <v>138</v>
      </c>
    </row>
    <row r="17" spans="1:2" x14ac:dyDescent="0.25">
      <c r="A17" s="4"/>
      <c r="B17" t="s">
        <v>139</v>
      </c>
    </row>
    <row r="18" spans="1:2" x14ac:dyDescent="0.25">
      <c r="A18" s="4"/>
      <c r="B18" t="s">
        <v>140</v>
      </c>
    </row>
    <row r="19" spans="1:2" x14ac:dyDescent="0.25">
      <c r="A19" s="4"/>
      <c r="B19" t="s">
        <v>141</v>
      </c>
    </row>
    <row r="20" spans="1:2" x14ac:dyDescent="0.25">
      <c r="A20" s="4"/>
      <c r="B20" t="s">
        <v>142</v>
      </c>
    </row>
    <row r="21" spans="1:2" x14ac:dyDescent="0.25">
      <c r="A21" s="4"/>
      <c r="B21" t="s">
        <v>143</v>
      </c>
    </row>
    <row r="22" spans="1:2" x14ac:dyDescent="0.25">
      <c r="A22" s="4"/>
      <c r="B22" t="s">
        <v>245</v>
      </c>
    </row>
    <row r="23" spans="1:2" x14ac:dyDescent="0.25">
      <c r="A23" s="4"/>
    </row>
    <row r="24" spans="1:2" ht="13" x14ac:dyDescent="0.3">
      <c r="A24" s="3" t="s">
        <v>144</v>
      </c>
      <c r="B24" t="s">
        <v>145</v>
      </c>
    </row>
    <row r="25" spans="1:2" ht="13" x14ac:dyDescent="0.3">
      <c r="A25" s="3"/>
      <c r="B25" t="s">
        <v>146</v>
      </c>
    </row>
    <row r="26" spans="1:2" x14ac:dyDescent="0.25">
      <c r="A26" s="4"/>
    </row>
    <row r="27" spans="1:2" ht="13" x14ac:dyDescent="0.3">
      <c r="A27" s="3" t="s">
        <v>147</v>
      </c>
      <c r="B27" t="s">
        <v>148</v>
      </c>
    </row>
    <row r="28" spans="1:2" ht="13" x14ac:dyDescent="0.3">
      <c r="A28" s="3"/>
    </row>
    <row r="29" spans="1:2" ht="13" x14ac:dyDescent="0.3">
      <c r="A29" s="3" t="s">
        <v>149</v>
      </c>
      <c r="B29" t="s">
        <v>150</v>
      </c>
    </row>
    <row r="30" spans="1:2" x14ac:dyDescent="0.25">
      <c r="A30" s="4"/>
    </row>
    <row r="31" spans="1:2" ht="13" x14ac:dyDescent="0.3">
      <c r="A31" s="3" t="s">
        <v>151</v>
      </c>
      <c r="B31" t="s">
        <v>152</v>
      </c>
    </row>
    <row r="32" spans="1:2" x14ac:dyDescent="0.25">
      <c r="A32" s="4" t="s">
        <v>153</v>
      </c>
    </row>
    <row r="33" spans="1:2" ht="13" x14ac:dyDescent="0.3">
      <c r="A33" s="3" t="s">
        <v>154</v>
      </c>
      <c r="B33" t="s">
        <v>155</v>
      </c>
    </row>
    <row r="34" spans="1:2" x14ac:dyDescent="0.25">
      <c r="A34" s="4" t="s">
        <v>153</v>
      </c>
      <c r="B34" t="s">
        <v>156</v>
      </c>
    </row>
    <row r="35" spans="1:2" x14ac:dyDescent="0.25">
      <c r="A35" s="4"/>
      <c r="B35" t="s">
        <v>251</v>
      </c>
    </row>
    <row r="36" spans="1:2" x14ac:dyDescent="0.25">
      <c r="A36" s="4"/>
      <c r="B36" t="s">
        <v>250</v>
      </c>
    </row>
    <row r="37" spans="1:2" x14ac:dyDescent="0.25">
      <c r="A37" s="4"/>
    </row>
    <row r="38" spans="1:2" ht="13" x14ac:dyDescent="0.3">
      <c r="A38" s="3" t="s">
        <v>157</v>
      </c>
      <c r="B38" t="s">
        <v>158</v>
      </c>
    </row>
    <row r="39" spans="1:2" x14ac:dyDescent="0.25">
      <c r="A39" s="4"/>
      <c r="B39" t="s">
        <v>159</v>
      </c>
    </row>
    <row r="40" spans="1:2" x14ac:dyDescent="0.25">
      <c r="A40" s="4"/>
      <c r="B40" t="s">
        <v>160</v>
      </c>
    </row>
    <row r="41" spans="1:2" x14ac:dyDescent="0.25">
      <c r="A41" s="4"/>
      <c r="B41" t="s">
        <v>161</v>
      </c>
    </row>
    <row r="42" spans="1:2" x14ac:dyDescent="0.25">
      <c r="A42" s="4"/>
      <c r="B42" t="s">
        <v>162</v>
      </c>
    </row>
    <row r="43" spans="1:2" x14ac:dyDescent="0.25">
      <c r="A43" s="4"/>
      <c r="B43" t="s">
        <v>163</v>
      </c>
    </row>
    <row r="44" spans="1:2" x14ac:dyDescent="0.25">
      <c r="A44" s="4"/>
      <c r="B44" t="s">
        <v>164</v>
      </c>
    </row>
    <row r="45" spans="1:2" x14ac:dyDescent="0.25">
      <c r="A45" s="4"/>
    </row>
    <row r="46" spans="1:2" ht="13" x14ac:dyDescent="0.3">
      <c r="A46" s="3" t="s">
        <v>165</v>
      </c>
      <c r="B46" t="s">
        <v>166</v>
      </c>
    </row>
    <row r="47" spans="1:2" ht="13" x14ac:dyDescent="0.3">
      <c r="A47" s="3"/>
      <c r="B47" t="s">
        <v>167</v>
      </c>
    </row>
    <row r="48" spans="1:2" ht="13" x14ac:dyDescent="0.3">
      <c r="A48" s="3"/>
      <c r="B48" t="s">
        <v>168</v>
      </c>
    </row>
    <row r="49" spans="1:25" x14ac:dyDescent="0.25">
      <c r="A49" s="4"/>
    </row>
    <row r="50" spans="1:25" ht="13" x14ac:dyDescent="0.3">
      <c r="A50" s="3" t="s">
        <v>169</v>
      </c>
      <c r="B50" t="s">
        <v>170</v>
      </c>
    </row>
    <row r="51" spans="1:25" x14ac:dyDescent="0.25">
      <c r="A51" s="4"/>
      <c r="B51" t="s">
        <v>171</v>
      </c>
    </row>
    <row r="52" spans="1:25" x14ac:dyDescent="0.25">
      <c r="A52" s="4"/>
      <c r="B52" t="s">
        <v>172</v>
      </c>
    </row>
    <row r="53" spans="1:25" x14ac:dyDescent="0.25">
      <c r="A53" s="4"/>
      <c r="B53" t="s">
        <v>173</v>
      </c>
    </row>
    <row r="54" spans="1:25" x14ac:dyDescent="0.25">
      <c r="A54" s="4"/>
      <c r="B54" t="s">
        <v>174</v>
      </c>
    </row>
    <row r="55" spans="1:25" x14ac:dyDescent="0.25">
      <c r="A55" s="4"/>
      <c r="B55" t="s">
        <v>175</v>
      </c>
    </row>
    <row r="56" spans="1:25" x14ac:dyDescent="0.25">
      <c r="A56" s="4"/>
      <c r="B56" t="s">
        <v>176</v>
      </c>
    </row>
    <row r="57" spans="1:25" ht="13" x14ac:dyDescent="0.3">
      <c r="A57" s="4"/>
      <c r="B57" t="s">
        <v>177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" x14ac:dyDescent="0.3">
      <c r="A58" s="4"/>
      <c r="B58" t="s">
        <v>178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" x14ac:dyDescent="0.3">
      <c r="A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" x14ac:dyDescent="0.3">
      <c r="A60" s="3" t="s">
        <v>179</v>
      </c>
      <c r="B60" t="s">
        <v>180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" x14ac:dyDescent="0.3">
      <c r="A61" s="4"/>
      <c r="B61" t="s">
        <v>181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" x14ac:dyDescent="0.3">
      <c r="A62" s="4"/>
      <c r="B62" t="s">
        <v>182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" x14ac:dyDescent="0.3">
      <c r="A63" s="4"/>
      <c r="B63" t="s">
        <v>183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" x14ac:dyDescent="0.3">
      <c r="A64" s="4"/>
      <c r="B64" t="s">
        <v>184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" x14ac:dyDescent="0.3">
      <c r="A65" s="4"/>
      <c r="B65" t="s">
        <v>185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" x14ac:dyDescent="0.3">
      <c r="A66" s="4"/>
      <c r="B66" t="s">
        <v>186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" x14ac:dyDescent="0.3">
      <c r="A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" x14ac:dyDescent="0.3">
      <c r="A68" s="3" t="s">
        <v>187</v>
      </c>
      <c r="B68" t="s">
        <v>188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" x14ac:dyDescent="0.3">
      <c r="A69" s="4"/>
      <c r="B69" t="s">
        <v>189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" x14ac:dyDescent="0.3">
      <c r="A70" s="4"/>
      <c r="B70" t="s">
        <v>190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" x14ac:dyDescent="0.3">
      <c r="A71" s="4"/>
      <c r="B71" t="s">
        <v>191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" x14ac:dyDescent="0.3">
      <c r="A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" x14ac:dyDescent="0.3">
      <c r="A73" s="3" t="s">
        <v>192</v>
      </c>
      <c r="B73" t="s">
        <v>193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" x14ac:dyDescent="0.3">
      <c r="A74" s="4"/>
      <c r="B74" t="s">
        <v>194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" x14ac:dyDescent="0.3">
      <c r="A75" s="4"/>
      <c r="B75" t="s">
        <v>195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" x14ac:dyDescent="0.3">
      <c r="A76" s="4"/>
      <c r="B76" t="s">
        <v>196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4"/>
      <c r="B77" t="s">
        <v>197</v>
      </c>
    </row>
    <row r="78" spans="1:25" x14ac:dyDescent="0.25">
      <c r="A78" s="4"/>
      <c r="B78" t="s">
        <v>198</v>
      </c>
    </row>
    <row r="79" spans="1:25" x14ac:dyDescent="0.25">
      <c r="A79" s="4"/>
    </row>
    <row r="80" spans="1:25" ht="13" x14ac:dyDescent="0.3">
      <c r="A80" s="3" t="s">
        <v>199</v>
      </c>
      <c r="B80" t="s">
        <v>200</v>
      </c>
    </row>
    <row r="81" spans="1:3" ht="13" x14ac:dyDescent="0.3">
      <c r="A81" s="3"/>
    </row>
    <row r="82" spans="1:3" ht="13" x14ac:dyDescent="0.3">
      <c r="A82" s="3" t="s">
        <v>201</v>
      </c>
      <c r="B82" t="s">
        <v>202</v>
      </c>
    </row>
    <row r="83" spans="1:3" ht="13" x14ac:dyDescent="0.3">
      <c r="A83" s="3"/>
      <c r="B83" s="6" t="s">
        <v>203</v>
      </c>
    </row>
    <row r="84" spans="1:3" ht="13" x14ac:dyDescent="0.3">
      <c r="A84" s="3"/>
      <c r="B84" s="6" t="s">
        <v>204</v>
      </c>
    </row>
    <row r="85" spans="1:3" ht="13" x14ac:dyDescent="0.3">
      <c r="A85" s="3"/>
      <c r="B85" s="7" t="s">
        <v>205</v>
      </c>
    </row>
    <row r="86" spans="1:3" ht="13" x14ac:dyDescent="0.3">
      <c r="A86" s="3"/>
      <c r="B86" s="7"/>
    </row>
    <row r="87" spans="1:3" ht="20" x14ac:dyDescent="0.4">
      <c r="A87" s="8" t="s">
        <v>206</v>
      </c>
      <c r="B87" s="9"/>
      <c r="C87" s="9"/>
    </row>
    <row r="89" spans="1:3" x14ac:dyDescent="0.25">
      <c r="A89" t="s">
        <v>207</v>
      </c>
    </row>
    <row r="90" spans="1:3" x14ac:dyDescent="0.25">
      <c r="A90" t="s">
        <v>208</v>
      </c>
    </row>
    <row r="91" spans="1:3" x14ac:dyDescent="0.25">
      <c r="A91" s="10" t="s">
        <v>209</v>
      </c>
    </row>
    <row r="92" spans="1:3" x14ac:dyDescent="0.25">
      <c r="A92" s="10" t="s">
        <v>210</v>
      </c>
    </row>
    <row r="93" spans="1:3" x14ac:dyDescent="0.25">
      <c r="A93" s="10" t="s">
        <v>211</v>
      </c>
    </row>
    <row r="94" spans="1:3" x14ac:dyDescent="0.25">
      <c r="A94" t="s">
        <v>212</v>
      </c>
    </row>
    <row r="95" spans="1:3" x14ac:dyDescent="0.25">
      <c r="A95" t="s">
        <v>213</v>
      </c>
    </row>
    <row r="96" spans="1:3" x14ac:dyDescent="0.25">
      <c r="A96" t="s">
        <v>214</v>
      </c>
    </row>
    <row r="98" spans="1:1" x14ac:dyDescent="0.25">
      <c r="A98" t="s">
        <v>215</v>
      </c>
    </row>
    <row r="99" spans="1:1" x14ac:dyDescent="0.25">
      <c r="A99" t="s">
        <v>216</v>
      </c>
    </row>
    <row r="100" spans="1:1" x14ac:dyDescent="0.25">
      <c r="A100" t="s">
        <v>217</v>
      </c>
    </row>
    <row r="101" spans="1:1" x14ac:dyDescent="0.25">
      <c r="A101" t="s">
        <v>218</v>
      </c>
    </row>
    <row r="102" spans="1:1" x14ac:dyDescent="0.25">
      <c r="A102" t="s">
        <v>212</v>
      </c>
    </row>
    <row r="103" spans="1:1" x14ac:dyDescent="0.25">
      <c r="A103" t="s">
        <v>219</v>
      </c>
    </row>
    <row r="104" spans="1:1" x14ac:dyDescent="0.25">
      <c r="A104" t="s">
        <v>220</v>
      </c>
    </row>
    <row r="105" spans="1:1" x14ac:dyDescent="0.25">
      <c r="A105" t="s">
        <v>221</v>
      </c>
    </row>
    <row r="106" spans="1:1" x14ac:dyDescent="0.25">
      <c r="A106" t="s">
        <v>214</v>
      </c>
    </row>
    <row r="108" spans="1:1" x14ac:dyDescent="0.25">
      <c r="A108" t="s">
        <v>222</v>
      </c>
    </row>
    <row r="109" spans="1:1" x14ac:dyDescent="0.25">
      <c r="A109" t="s">
        <v>223</v>
      </c>
    </row>
    <row r="110" spans="1:1" x14ac:dyDescent="0.25">
      <c r="A110" t="s">
        <v>212</v>
      </c>
    </row>
    <row r="111" spans="1:1" x14ac:dyDescent="0.25">
      <c r="A111" t="s">
        <v>219</v>
      </c>
    </row>
    <row r="112" spans="1:1" x14ac:dyDescent="0.25">
      <c r="A112" t="s">
        <v>220</v>
      </c>
    </row>
    <row r="113" spans="1:1" x14ac:dyDescent="0.25">
      <c r="A113" t="s">
        <v>224</v>
      </c>
    </row>
    <row r="115" spans="1:1" x14ac:dyDescent="0.25">
      <c r="A115" t="s">
        <v>225</v>
      </c>
    </row>
    <row r="116" spans="1:1" x14ac:dyDescent="0.25">
      <c r="A116" t="s">
        <v>226</v>
      </c>
    </row>
    <row r="117" spans="1:1" x14ac:dyDescent="0.25">
      <c r="A117" t="s">
        <v>227</v>
      </c>
    </row>
    <row r="118" spans="1:1" x14ac:dyDescent="0.25">
      <c r="A118" t="s">
        <v>228</v>
      </c>
    </row>
    <row r="119" spans="1:1" x14ac:dyDescent="0.25">
      <c r="A119" t="s">
        <v>229</v>
      </c>
    </row>
    <row r="121" spans="1:1" x14ac:dyDescent="0.25">
      <c r="A121" t="s">
        <v>230</v>
      </c>
    </row>
    <row r="122" spans="1:1" x14ac:dyDescent="0.25">
      <c r="A122" t="s">
        <v>231</v>
      </c>
    </row>
    <row r="123" spans="1:1" x14ac:dyDescent="0.25">
      <c r="A123" t="s">
        <v>232</v>
      </c>
    </row>
    <row r="124" spans="1:1" x14ac:dyDescent="0.25">
      <c r="A124" t="s">
        <v>233</v>
      </c>
    </row>
    <row r="125" spans="1:1" x14ac:dyDescent="0.25">
      <c r="A125" t="s">
        <v>234</v>
      </c>
    </row>
    <row r="126" spans="1:1" x14ac:dyDescent="0.25">
      <c r="A126" t="s">
        <v>235</v>
      </c>
    </row>
    <row r="127" spans="1:1" x14ac:dyDescent="0.25">
      <c r="A127" t="s">
        <v>236</v>
      </c>
    </row>
    <row r="128" spans="1:1" x14ac:dyDescent="0.25">
      <c r="A128" t="s">
        <v>153</v>
      </c>
    </row>
    <row r="130" spans="1:6" ht="13" x14ac:dyDescent="0.3">
      <c r="A130" s="6" t="s">
        <v>237</v>
      </c>
    </row>
    <row r="132" spans="1:6" ht="13" x14ac:dyDescent="0.3">
      <c r="A132" t="s">
        <v>238</v>
      </c>
    </row>
    <row r="133" spans="1:6" x14ac:dyDescent="0.25">
      <c r="A133" t="s">
        <v>239</v>
      </c>
    </row>
    <row r="134" spans="1:6" x14ac:dyDescent="0.25">
      <c r="A134" t="s">
        <v>240</v>
      </c>
    </row>
    <row r="136" spans="1:6" x14ac:dyDescent="0.25">
      <c r="A136" t="s">
        <v>241</v>
      </c>
    </row>
    <row r="138" spans="1:6" ht="13" x14ac:dyDescent="0.3">
      <c r="A138" t="s">
        <v>242</v>
      </c>
    </row>
    <row r="139" spans="1:6" ht="13" x14ac:dyDescent="0.3">
      <c r="A139" t="s">
        <v>243</v>
      </c>
    </row>
    <row r="140" spans="1:6" ht="13" x14ac:dyDescent="0.3">
      <c r="A140" t="s">
        <v>244</v>
      </c>
    </row>
    <row r="142" spans="1:6" x14ac:dyDescent="0.25">
      <c r="A142" t="s">
        <v>262</v>
      </c>
    </row>
    <row r="143" spans="1:6" ht="13" x14ac:dyDescent="0.3">
      <c r="A143" s="5"/>
      <c r="B143" s="5"/>
      <c r="C143" s="5"/>
      <c r="D143" s="5"/>
      <c r="E143" s="5"/>
      <c r="F143" s="5"/>
    </row>
    <row r="144" spans="1:6" ht="13" x14ac:dyDescent="0.3">
      <c r="A144" s="5"/>
      <c r="B144" s="5"/>
      <c r="C144" s="5"/>
      <c r="D144" s="5"/>
      <c r="E144" s="5"/>
      <c r="F144" s="5"/>
    </row>
    <row r="145" spans="1:6" ht="13" x14ac:dyDescent="0.3">
      <c r="A145" s="5"/>
      <c r="B145" s="5"/>
      <c r="C145" s="5"/>
      <c r="D145" s="5"/>
      <c r="E145" s="5"/>
      <c r="F145" s="5"/>
    </row>
    <row r="146" spans="1:6" ht="13" x14ac:dyDescent="0.3">
      <c r="A146" s="5"/>
      <c r="B146" s="5"/>
      <c r="C146" s="5"/>
      <c r="D146" s="5"/>
      <c r="E146" s="5"/>
      <c r="F146" s="5"/>
    </row>
    <row r="147" spans="1:6" ht="13" x14ac:dyDescent="0.3">
      <c r="A147" s="5"/>
      <c r="B147" s="5"/>
      <c r="C147" s="5"/>
      <c r="D147" s="5"/>
      <c r="E147" s="5"/>
      <c r="F147" s="5"/>
    </row>
  </sheetData>
  <mergeCells count="1">
    <mergeCell ref="A1:F2"/>
  </mergeCells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CAMPIONATO</vt:lpstr>
      <vt:lpstr>Grafico</vt:lpstr>
      <vt:lpstr>Rose Iniziali</vt:lpstr>
      <vt:lpstr>Rose Modificate</vt:lpstr>
      <vt:lpstr>COPPETTA</vt:lpstr>
      <vt:lpstr>Proposte d'Acquisto</vt:lpstr>
      <vt:lpstr>Calcola Risultato</vt:lpstr>
      <vt:lpstr>Premi</vt:lpstr>
      <vt:lpstr>Regolamenti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Avossa, Eugenio</cp:lastModifiedBy>
  <cp:revision>1</cp:revision>
  <cp:lastPrinted>2015-09-04T22:42:27Z</cp:lastPrinted>
  <dcterms:created xsi:type="dcterms:W3CDTF">1996-11-05T10:16:36Z</dcterms:created>
  <dcterms:modified xsi:type="dcterms:W3CDTF">2026-09-08T07:46:15Z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WorkbookGuid">
    <vt:lpwstr>a45daceb-0a9a-4a6e-8c14-7973aa7246b4</vt:lpwstr>
  </property>
  <property fmtid="{D5CDD505-2E9C-101B-9397-08002B2CF9AE}" pid="4" name="KSOProductBuildVer">
    <vt:lpwstr>1033-10.1.0.5783</vt:lpwstr>
  </property>
  <property fmtid="{D5CDD505-2E9C-101B-9397-08002B2CF9AE}" pid="5" name="MSIP_Label_15394ae5-69af-439d-af88-cb521c31c0c5_Enabled">
    <vt:lpwstr>true</vt:lpwstr>
  </property>
  <property fmtid="{D5CDD505-2E9C-101B-9397-08002B2CF9AE}" pid="6" name="MSIP_Label_15394ae5-69af-439d-af88-cb521c31c0c5_SetDate">
    <vt:lpwstr>2026-03-24T14:19:11Z</vt:lpwstr>
  </property>
  <property fmtid="{D5CDD505-2E9C-101B-9397-08002B2CF9AE}" pid="7" name="MSIP_Label_15394ae5-69af-439d-af88-cb521c31c0c5_Method">
    <vt:lpwstr>Standard</vt:lpwstr>
  </property>
  <property fmtid="{D5CDD505-2E9C-101B-9397-08002B2CF9AE}" pid="8" name="MSIP_Label_15394ae5-69af-439d-af88-cb521c31c0c5_Name">
    <vt:lpwstr>DXC Internal</vt:lpwstr>
  </property>
  <property fmtid="{D5CDD505-2E9C-101B-9397-08002B2CF9AE}" pid="9" name="MSIP_Label_15394ae5-69af-439d-af88-cb521c31c0c5_SiteId">
    <vt:lpwstr>93f33571-550f-43cf-b09f-cd331338d086</vt:lpwstr>
  </property>
  <property fmtid="{D5CDD505-2E9C-101B-9397-08002B2CF9AE}" pid="10" name="MSIP_Label_15394ae5-69af-439d-af88-cb521c31c0c5_ActionId">
    <vt:lpwstr>4f11ce50-7db9-4e8f-a3de-5f291a116d76</vt:lpwstr>
  </property>
  <property fmtid="{D5CDD505-2E9C-101B-9397-08002B2CF9AE}" pid="11" name="MSIP_Label_15394ae5-69af-439d-af88-cb521c31c0c5_ContentBits">
    <vt:lpwstr>0</vt:lpwstr>
  </property>
  <property fmtid="{D5CDD505-2E9C-101B-9397-08002B2CF9AE}" pid="12" name="MSIP_Label_15394ae5-69af-439d-af88-cb521c31c0c5_Tag">
    <vt:lpwstr>10, 3, 0, 1</vt:lpwstr>
  </property>
</Properties>
</file>